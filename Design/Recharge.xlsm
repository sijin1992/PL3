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165" windowWidth="21525" windowHeight="12885"/>
  </bookViews>
  <sheets>
    <sheet name="Sheet1" sheetId="1" r:id="rId1"/>
    <sheet name="Sheet2" sheetId="2" r:id="rId2"/>
    <sheet name="Sheet3" sheetId="3" r:id="rId3"/>
  </sheets>
  <externalReferences>
    <externalReference r:id="rId4"/>
  </externalReferences>
  <calcPr calcId="124519"/>
</workbook>
</file>

<file path=xl/calcChain.xml><?xml version="1.0" encoding="utf-8"?>
<calcChain xmlns="http://schemas.openxmlformats.org/spreadsheetml/2006/main">
  <c r="K2" i="1"/>
  <c r="K3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</calcChain>
</file>

<file path=xl/comments1.xml><?xml version="1.0" encoding="utf-8"?>
<comments xmlns="http://schemas.openxmlformats.org/spreadsheetml/2006/main">
  <authors>
    <author>User</author>
    <author>Administrator</author>
  </authors>
  <commentLis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User:</t>
        </r>
        <r>
          <rPr>
            <sz val="9"/>
            <color indexed="81"/>
            <rFont val="宋体"/>
            <family val="3"/>
            <charset val="134"/>
          </rPr>
          <t xml:space="preserve">
0为充值
1为运营礼包</t>
        </r>
      </text>
    </comment>
    <comment ref="C1" authorId="1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奇遇礼包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User:
星盟礼包</t>
        </r>
        <r>
          <rPr>
            <sz val="9"/>
            <color indexed="81"/>
            <rFont val="宋体"/>
            <family val="3"/>
            <charset val="134"/>
          </rPr>
          <t xml:space="preserve">
0表示无礼包
其他为礼包ID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>User:</t>
        </r>
        <r>
          <rPr>
            <sz val="9"/>
            <color indexed="81"/>
            <rFont val="宋体"/>
            <family val="3"/>
            <charset val="134"/>
          </rPr>
          <t xml:space="preserve">
活动充值礼包</t>
        </r>
      </text>
    </comment>
  </commentList>
</comments>
</file>

<file path=xl/connections.xml><?xml version="1.0" encoding="utf-8"?>
<connections xmlns="http://schemas.openxmlformats.org/spreadsheetml/2006/main">
  <connection id="1" name="Recharge" type="4" refreshedVersion="0" background="1">
    <webPr xml="1" sourceData="1" url="G:\xingzhan\新建文件夹\Recharge.xml" htmlTables="1" htmlFormat="all"/>
  </connection>
</connections>
</file>

<file path=xl/sharedStrings.xml><?xml version="1.0" encoding="utf-8"?>
<sst xmlns="http://schemas.openxmlformats.org/spreadsheetml/2006/main" count="150" uniqueCount="97">
  <si>
    <t>ID</t>
    <phoneticPr fontId="1" type="noConversion"/>
  </si>
  <si>
    <t>PRODUCT_ID</t>
    <phoneticPr fontId="1" type="noConversion"/>
  </si>
  <si>
    <t xml:space="preserve"> </t>
    <phoneticPr fontId="1" type="noConversion"/>
  </si>
  <si>
    <t>credit6</t>
  </si>
  <si>
    <t>credit30</t>
  </si>
  <si>
    <t>credit68</t>
  </si>
  <si>
    <t>credit128</t>
  </si>
  <si>
    <t>credit198</t>
  </si>
  <si>
    <t>credit328</t>
  </si>
  <si>
    <t>credit488</t>
  </si>
  <si>
    <t>credit648</t>
  </si>
  <si>
    <t>RECHARGE_1</t>
    <phoneticPr fontId="1" type="noConversion"/>
  </si>
  <si>
    <t>CREDIT_1</t>
    <phoneticPr fontId="1" type="noConversion"/>
  </si>
  <si>
    <t>PRESENT_1</t>
    <phoneticPr fontId="1" type="noConversion"/>
  </si>
  <si>
    <t>RECHARGE_0</t>
    <phoneticPr fontId="1" type="noConversion"/>
  </si>
  <si>
    <t>CREDIT_0</t>
    <phoneticPr fontId="1" type="noConversion"/>
  </si>
  <si>
    <t>PRESENT_0</t>
    <phoneticPr fontId="1" type="noConversion"/>
  </si>
  <si>
    <t>TIME</t>
    <phoneticPr fontId="1" type="noConversion"/>
  </si>
  <si>
    <t>TYPE</t>
    <phoneticPr fontId="1" type="noConversion"/>
  </si>
  <si>
    <t>GIFT_ID</t>
    <phoneticPr fontId="1" type="noConversion"/>
  </si>
  <si>
    <t>GROUP_GIFT_ID</t>
    <phoneticPr fontId="1" type="noConversion"/>
  </si>
  <si>
    <t>0</t>
    <phoneticPr fontId="1" type="noConversion"/>
  </si>
  <si>
    <t>1</t>
  </si>
  <si>
    <t>1</t>
    <phoneticPr fontId="1" type="noConversion"/>
  </si>
  <si>
    <t>gold002</t>
    <phoneticPr fontId="1" type="noConversion"/>
  </si>
  <si>
    <t>gold003</t>
    <phoneticPr fontId="1" type="noConversion"/>
  </si>
  <si>
    <t>gold004</t>
    <phoneticPr fontId="1" type="noConversion"/>
  </si>
  <si>
    <t>gold001</t>
    <phoneticPr fontId="1" type="noConversion"/>
  </si>
  <si>
    <t>gold101</t>
    <phoneticPr fontId="1" type="noConversion"/>
  </si>
  <si>
    <t>gold102</t>
  </si>
  <si>
    <t>gold103</t>
  </si>
  <si>
    <t>gold104</t>
  </si>
  <si>
    <t>gold201</t>
    <phoneticPr fontId="1" type="noConversion"/>
  </si>
  <si>
    <t>gold202</t>
    <phoneticPr fontId="1" type="noConversion"/>
  </si>
  <si>
    <t>gold203</t>
    <phoneticPr fontId="1" type="noConversion"/>
  </si>
  <si>
    <t>gold204</t>
    <phoneticPr fontId="1" type="noConversion"/>
  </si>
  <si>
    <t>gold301</t>
    <phoneticPr fontId="1" type="noConversion"/>
  </si>
  <si>
    <t>gold302</t>
    <phoneticPr fontId="1" type="noConversion"/>
  </si>
  <si>
    <t>gold303</t>
    <phoneticPr fontId="1" type="noConversion"/>
  </si>
  <si>
    <t>gold304</t>
    <phoneticPr fontId="1" type="noConversion"/>
  </si>
  <si>
    <t>gold401</t>
    <phoneticPr fontId="1" type="noConversion"/>
  </si>
  <si>
    <t>gold402</t>
    <phoneticPr fontId="1" type="noConversion"/>
  </si>
  <si>
    <t>gold403</t>
    <phoneticPr fontId="1" type="noConversion"/>
  </si>
  <si>
    <t>gold404</t>
    <phoneticPr fontId="1" type="noConversion"/>
  </si>
  <si>
    <t>gold501</t>
    <phoneticPr fontId="1" type="noConversion"/>
  </si>
  <si>
    <t>gold502</t>
    <phoneticPr fontId="1" type="noConversion"/>
  </si>
  <si>
    <t>gold503</t>
    <phoneticPr fontId="1" type="noConversion"/>
  </si>
  <si>
    <t>gold504</t>
    <phoneticPr fontId="1" type="noConversion"/>
  </si>
  <si>
    <t>ACTIVE_GIFT_ID</t>
    <phoneticPr fontId="1" type="noConversion"/>
  </si>
  <si>
    <t>gold2001</t>
  </si>
  <si>
    <t>gold2002</t>
  </si>
  <si>
    <t>gold2003</t>
  </si>
  <si>
    <t>gold2004</t>
  </si>
  <si>
    <t>30001</t>
    <phoneticPr fontId="1" type="noConversion"/>
  </si>
  <si>
    <t>30002</t>
    <phoneticPr fontId="1" type="noConversion"/>
  </si>
  <si>
    <t>30003</t>
    <phoneticPr fontId="1" type="noConversion"/>
  </si>
  <si>
    <t>30004</t>
    <phoneticPr fontId="1" type="noConversion"/>
  </si>
  <si>
    <t>30005</t>
    <phoneticPr fontId="1" type="noConversion"/>
  </si>
  <si>
    <t>1</t>
    <phoneticPr fontId="1" type="noConversion"/>
  </si>
  <si>
    <t>1</t>
    <phoneticPr fontId="1" type="noConversion"/>
  </si>
  <si>
    <t>1</t>
    <phoneticPr fontId="1" type="noConversion"/>
  </si>
  <si>
    <t>cost1</t>
    <phoneticPr fontId="1" type="noConversion"/>
  </si>
  <si>
    <t>cost6</t>
    <phoneticPr fontId="1" type="noConversion"/>
  </si>
  <si>
    <t>cost30</t>
    <phoneticPr fontId="1" type="noConversion"/>
  </si>
  <si>
    <t>cost68</t>
    <phoneticPr fontId="1" type="noConversion"/>
  </si>
  <si>
    <t>cost128</t>
    <phoneticPr fontId="1" type="noConversion"/>
  </si>
  <si>
    <t>110002</t>
    <phoneticPr fontId="1" type="noConversion"/>
  </si>
  <si>
    <t>110003</t>
  </si>
  <si>
    <t>110004</t>
  </si>
  <si>
    <t>110001</t>
    <phoneticPr fontId="1" type="noConversion"/>
  </si>
  <si>
    <t>100006</t>
    <phoneticPr fontId="1" type="noConversion"/>
  </si>
  <si>
    <t>100007</t>
  </si>
  <si>
    <t>100008</t>
  </si>
  <si>
    <t>100009</t>
  </si>
  <si>
    <t>60信用点</t>
  </si>
  <si>
    <t>300信用点</t>
  </si>
  <si>
    <t>680信用点</t>
  </si>
  <si>
    <t>1280信用点</t>
  </si>
  <si>
    <t>1980信用点</t>
  </si>
  <si>
    <t>3280信用点</t>
  </si>
  <si>
    <t>4880信用点</t>
  </si>
  <si>
    <t>6480信用点</t>
  </si>
  <si>
    <t>补给礼包</t>
  </si>
  <si>
    <t>发展礼包</t>
  </si>
  <si>
    <t>战略礼包</t>
  </si>
  <si>
    <t>装备礼包</t>
  </si>
  <si>
    <t>1元特惠礼包</t>
  </si>
  <si>
    <t>6元特惠礼包</t>
  </si>
  <si>
    <t>30元特惠礼包</t>
  </si>
  <si>
    <t>68元特惠礼包</t>
  </si>
  <si>
    <t>128元特惠礼包</t>
  </si>
  <si>
    <t>财源滚滚礼包</t>
  </si>
  <si>
    <t>喜从天降礼包</t>
  </si>
  <si>
    <t>限时军购A礼包</t>
  </si>
  <si>
    <t>限时军购B礼包</t>
  </si>
  <si>
    <t>限时军购C礼包</t>
  </si>
  <si>
    <t>精兵强军礼包</t>
  </si>
</sst>
</file>

<file path=xl/styles.xml><?xml version="1.0" encoding="utf-8"?>
<styleSheet xmlns="http://schemas.openxmlformats.org/spreadsheetml/2006/main">
  <fonts count="6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0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000000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4" tint="0.39994506668294322"/>
      </top>
      <bottom style="thin">
        <color theme="4" tint="0.39994506668294322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4" borderId="2" xfId="0" applyNumberFormat="1" applyFont="1" applyFill="1" applyBorder="1" applyAlignment="1">
      <alignment horizontal="center" vertical="center"/>
    </xf>
    <xf numFmtId="0" fontId="0" fillId="3" borderId="2" xfId="0" applyNumberFormat="1" applyFont="1" applyFill="1" applyBorder="1" applyAlignment="1">
      <alignment horizontal="center" vertical="center"/>
    </xf>
    <xf numFmtId="0" fontId="0" fillId="3" borderId="3" xfId="0" applyNumberFormat="1" applyFont="1" applyFill="1" applyBorder="1" applyAlignment="1">
      <alignment horizontal="center" vertical="center"/>
    </xf>
  </cellXfs>
  <cellStyles count="1">
    <cellStyle name="常规" xfId="0" builtinId="0"/>
  </cellStyles>
  <dxfs count="15">
    <dxf>
      <numFmt numFmtId="0" formatCode="General"/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numFmt numFmtId="30" formatCode="@"/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numFmt numFmtId="30" formatCode="@"/>
      <alignment horizontal="center" vertical="center" textRotation="0" wrapText="0" indent="0" relativeIndent="0" justifyLastLine="0" shrinkToFit="0" readingOrder="0"/>
    </dxf>
    <dxf>
      <numFmt numFmtId="0" formatCode="General"/>
      <alignment horizontal="center" vertical="center" textRotation="0" wrapText="0" indent="0" relativeIndent="255" justifyLastLine="0" shrinkToFit="0" readingOrder="0"/>
    </dxf>
    <dxf>
      <numFmt numFmtId="30" formatCode="@"/>
      <alignment horizontal="center" vertical="center" textRotation="0" wrapText="0" indent="0" relativeIndent="0" justifyLastLine="0" shrinkToFit="0" readingOrder="0"/>
    </dxf>
    <dxf>
      <numFmt numFmtId="30" formatCode="@"/>
      <alignment horizontal="center" vertical="center" textRotation="0" wrapText="0" indent="0" relativeIndent="0" justifyLastLine="0" shrinkToFit="0" readingOrder="0"/>
    </dxf>
    <dxf>
      <numFmt numFmtId="30" formatCode="@"/>
      <alignment horizontal="center" vertical="center" textRotation="0" wrapText="0" indent="0" relativeIndent="0" justifyLastLine="0" shrinkToFit="0" readingOrder="0"/>
    </dxf>
    <dxf>
      <font>
        <sz val="10"/>
      </font>
      <numFmt numFmtId="30" formatCode="@"/>
      <fill>
        <patternFill patternType="solid">
          <fgColor indexed="64"/>
          <bgColor theme="0"/>
        </patternFill>
      </fill>
      <alignment horizontal="center" vertical="center" textRotation="0" wrapText="0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oot">
        <xsd:complexType>
          <xsd:sequence minOccurs="0">
            <xsd:element minOccurs="0" maxOccurs="unbounded" nillable="true" name="Row" form="unqualified">
              <xsd:complexType>
                <xsd:sequence minOccurs="0">
                  <xsd:element minOccurs="0" nillable="true" type="xsd:integer" name="ID" form="unqualified"/>
                  <xsd:element minOccurs="0" nillable="true" type="xsd:string" name="PRODUCT_ID" form="unqualified"/>
                  <xsd:element minOccurs="0" nillable="true" type="xsd:integer" name="RECHARGE" form="unqualified"/>
                  <xsd:element minOccurs="0" nillable="true" type="xsd:integer" name="CREDIT" form="unqualified"/>
                  <xsd:element minOccurs="0" nillable="true" type="xsd:integer" name="PRESENT" form="unqualified"/>
                </xsd:sequence>
              </xsd:complexType>
            </xsd:element>
          </xsd:sequence>
        </xsd:complexType>
      </xsd:element>
    </xsd:schema>
  </Schema>
  <Map ID="1" Name="Root_映射" RootElement="Roo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xmlMaps" Target="xmlMap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JinXin\work\&#20805;&#20540;&#34920;\Recharge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id="1" name="表1" displayName="表1" ref="A1:M43" tableType="xml" totalsRowShown="0" headerRowDxfId="14" dataDxfId="13" connectionId="1">
  <autoFilter ref="A1:M43"/>
  <tableColumns count="13">
    <tableColumn id="1" uniqueName="ID" name="ID" dataDxfId="12">
      <xmlColumnPr mapId="1" xpath="/Root/Row/ID" xmlDataType="integer"/>
    </tableColumn>
    <tableColumn id="10" uniqueName="10" name="TYPE" dataDxfId="11"/>
    <tableColumn id="11" uniqueName="11" name="GIFT_ID" dataDxfId="10"/>
    <tableColumn id="12" uniqueName="12" name="GROUP_GIFT_ID" dataDxfId="9"/>
    <tableColumn id="13" uniqueName="13" name="ACTIVE_GIFT_ID" dataDxfId="8"/>
    <tableColumn id="2" uniqueName="PRODUCT_ID" name="PRODUCT_ID" dataDxfId="7">
      <xmlColumnPr mapId="1" xpath="/Root/Row/PRODUCT_ID" xmlDataType="string"/>
    </tableColumn>
    <tableColumn id="3" uniqueName="RECHARGE" name="RECHARGE_0" dataDxfId="6">
      <xmlColumnPr mapId="1" xpath="/Root/Row/RECHARGE" xmlDataType="integer"/>
    </tableColumn>
    <tableColumn id="4" uniqueName="CREDIT" name="CREDIT_0" dataDxfId="5">
      <xmlColumnPr mapId="1" xpath="/Root/Row/CREDIT" xmlDataType="integer"/>
    </tableColumn>
    <tableColumn id="5" uniqueName="PRESENT" name="PRESENT_0" dataDxfId="4">
      <xmlColumnPr mapId="1" xpath="/Root/Row/PRESENT" xmlDataType="integer"/>
    </tableColumn>
    <tableColumn id="6" uniqueName="6" name="RECHARGE_1" dataDxfId="3"/>
    <tableColumn id="7" uniqueName="7" name="CREDIT_1" dataDxfId="0">
      <calculatedColumnFormula>ROUNDUP([1]!表1[[#This Row],[CREDIT_0]]/[1]!表1[[#This Row],[RECHARGE_0]]*1.62*[1]!表1[[#This Row],[RECHARGE_2]],0)</calculatedColumnFormula>
    </tableColumn>
    <tableColumn id="8" uniqueName="8" name="PRESENT_1" dataDxfId="2"/>
    <tableColumn id="9" uniqueName="9" name="TIME" dataDxf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44"/>
  <sheetViews>
    <sheetView tabSelected="1" workbookViewId="0">
      <selection activeCell="J3" sqref="J3"/>
    </sheetView>
  </sheetViews>
  <sheetFormatPr defaultRowHeight="13.5"/>
  <cols>
    <col min="1" max="1" width="8" style="1" bestFit="1" customWidth="1"/>
    <col min="2" max="2" width="15.25" style="1" bestFit="1" customWidth="1"/>
    <col min="3" max="3" width="12.75" style="1" bestFit="1" customWidth="1"/>
    <col min="4" max="4" width="17.875" style="1" customWidth="1"/>
    <col min="5" max="5" width="17.875" style="4" customWidth="1"/>
    <col min="6" max="6" width="17.875" style="1" customWidth="1"/>
    <col min="7" max="7" width="13.75" style="1" customWidth="1"/>
    <col min="8" max="8" width="13.625" style="1" customWidth="1"/>
    <col min="9" max="9" width="15.125" style="1" customWidth="1"/>
    <col min="10" max="10" width="11.5" style="1" customWidth="1"/>
    <col min="11" max="11" width="16" style="1" bestFit="1" customWidth="1"/>
    <col min="12" max="14" width="9" style="1"/>
    <col min="15" max="15" width="14.25" style="1" bestFit="1" customWidth="1"/>
    <col min="16" max="16384" width="9" style="1"/>
  </cols>
  <sheetData>
    <row r="1" spans="1:15" ht="16.5" customHeight="1">
      <c r="A1" s="1" t="s">
        <v>0</v>
      </c>
      <c r="B1" s="4" t="s">
        <v>18</v>
      </c>
      <c r="C1" s="4" t="s">
        <v>19</v>
      </c>
      <c r="D1" s="4" t="s">
        <v>20</v>
      </c>
      <c r="E1" s="4" t="s">
        <v>48</v>
      </c>
      <c r="F1" s="1" t="s">
        <v>1</v>
      </c>
      <c r="G1" s="3" t="s">
        <v>14</v>
      </c>
      <c r="H1" s="3" t="s">
        <v>15</v>
      </c>
      <c r="I1" s="3" t="s">
        <v>16</v>
      </c>
      <c r="J1" s="3" t="s">
        <v>11</v>
      </c>
      <c r="K1" s="3" t="s">
        <v>12</v>
      </c>
      <c r="L1" s="3" t="s">
        <v>13</v>
      </c>
      <c r="M1" s="4" t="s">
        <v>17</v>
      </c>
    </row>
    <row r="2" spans="1:15">
      <c r="A2" s="2">
        <v>10002</v>
      </c>
      <c r="B2" s="2" t="s">
        <v>21</v>
      </c>
      <c r="C2" s="2"/>
      <c r="D2" s="2"/>
      <c r="E2" s="2"/>
      <c r="F2" s="2" t="s">
        <v>3</v>
      </c>
      <c r="G2" s="4">
        <v>6</v>
      </c>
      <c r="H2" s="4">
        <v>60</v>
      </c>
      <c r="I2" s="4">
        <v>70</v>
      </c>
      <c r="J2" s="4">
        <v>19.989999999999998</v>
      </c>
      <c r="K2" s="8">
        <f>ROUNDUP([1]!表1[[#This Row],[CREDIT_0]]/[1]!表1[[#This Row],[RECHARGE_0]]*1.62*[1]!表1[[#This Row],[RECHARGE_2]],0)</f>
        <v>324</v>
      </c>
      <c r="L2" s="4">
        <v>370</v>
      </c>
      <c r="M2" s="4">
        <v>0</v>
      </c>
      <c r="O2" s="1" t="s">
        <v>74</v>
      </c>
    </row>
    <row r="3" spans="1:15">
      <c r="A3" s="2">
        <v>10003</v>
      </c>
      <c r="B3" s="2" t="s">
        <v>21</v>
      </c>
      <c r="C3" s="2"/>
      <c r="D3" s="2"/>
      <c r="E3" s="2"/>
      <c r="F3" s="2" t="s">
        <v>4</v>
      </c>
      <c r="G3" s="4">
        <v>30</v>
      </c>
      <c r="H3" s="4">
        <v>300</v>
      </c>
      <c r="I3" s="4">
        <v>350</v>
      </c>
      <c r="J3" s="4">
        <v>40.99</v>
      </c>
      <c r="K3" s="8">
        <f>ROUNDUP([1]!表1[[#This Row],[CREDIT_0]]/[1]!表1[[#This Row],[RECHARGE_0]]*1.62*[1]!表1[[#This Row],[RECHARGE_2]],0)</f>
        <v>665</v>
      </c>
      <c r="L3" s="4">
        <v>780</v>
      </c>
      <c r="M3" s="4">
        <v>0</v>
      </c>
      <c r="O3" s="1" t="s">
        <v>75</v>
      </c>
    </row>
    <row r="4" spans="1:15">
      <c r="A4" s="2">
        <v>10004</v>
      </c>
      <c r="B4" s="2" t="s">
        <v>21</v>
      </c>
      <c r="C4" s="2"/>
      <c r="D4" s="2"/>
      <c r="E4" s="2"/>
      <c r="F4" s="2" t="s">
        <v>5</v>
      </c>
      <c r="G4" s="4">
        <v>68</v>
      </c>
      <c r="H4" s="4">
        <v>680</v>
      </c>
      <c r="I4" s="4">
        <v>820</v>
      </c>
      <c r="J4" s="4">
        <v>61.99</v>
      </c>
      <c r="K4" s="8">
        <f>ROUNDUP([1]!表1[[#This Row],[CREDIT_0]]/[1]!表1[[#This Row],[RECHARGE_0]]*1.62*[1]!表1[[#This Row],[RECHARGE_2]],0)</f>
        <v>1005</v>
      </c>
      <c r="L4" s="4">
        <v>1220</v>
      </c>
      <c r="M4" s="4">
        <v>0</v>
      </c>
      <c r="O4" s="1" t="s">
        <v>76</v>
      </c>
    </row>
    <row r="5" spans="1:15">
      <c r="A5" s="2">
        <v>10005</v>
      </c>
      <c r="B5" s="2" t="s">
        <v>21</v>
      </c>
      <c r="C5" s="2"/>
      <c r="D5" s="2"/>
      <c r="E5" s="2"/>
      <c r="F5" s="2" t="s">
        <v>6</v>
      </c>
      <c r="G5" s="4">
        <v>128</v>
      </c>
      <c r="H5" s="4">
        <v>1280</v>
      </c>
      <c r="I5" s="4">
        <v>1600</v>
      </c>
      <c r="J5" s="4">
        <v>81.99</v>
      </c>
      <c r="K5" s="8">
        <f>ROUNDUP([1]!表1[[#This Row],[CREDIT_0]]/[1]!表1[[#This Row],[RECHARGE_0]]*1.62*[1]!表1[[#This Row],[RECHARGE_2]],0)</f>
        <v>1329</v>
      </c>
      <c r="L5" s="4">
        <v>1700</v>
      </c>
      <c r="M5" s="4">
        <v>0</v>
      </c>
      <c r="O5" s="1" t="s">
        <v>77</v>
      </c>
    </row>
    <row r="6" spans="1:15">
      <c r="A6" s="2">
        <v>10006</v>
      </c>
      <c r="B6" s="2" t="s">
        <v>21</v>
      </c>
      <c r="C6" s="2"/>
      <c r="D6" s="2"/>
      <c r="E6" s="2"/>
      <c r="F6" s="2" t="s">
        <v>7</v>
      </c>
      <c r="G6" s="4">
        <v>198</v>
      </c>
      <c r="H6" s="4">
        <v>1980</v>
      </c>
      <c r="I6" s="4">
        <v>2570</v>
      </c>
      <c r="J6" s="4">
        <v>123.99</v>
      </c>
      <c r="K6" s="8">
        <f>ROUNDUP([1]!表1[[#This Row],[CREDIT_0]]/[1]!表1[[#This Row],[RECHARGE_0]]*1.62*[1]!表1[[#This Row],[RECHARGE_2]],0)</f>
        <v>2009</v>
      </c>
      <c r="L6" s="4">
        <v>2650</v>
      </c>
      <c r="M6" s="4">
        <v>0</v>
      </c>
      <c r="O6" s="1" t="s">
        <v>78</v>
      </c>
    </row>
    <row r="7" spans="1:15">
      <c r="A7" s="2">
        <v>10007</v>
      </c>
      <c r="B7" s="2" t="s">
        <v>21</v>
      </c>
      <c r="C7" s="2"/>
      <c r="D7" s="2"/>
      <c r="E7" s="2"/>
      <c r="F7" s="2" t="s">
        <v>8</v>
      </c>
      <c r="G7" s="4">
        <v>328</v>
      </c>
      <c r="H7" s="4">
        <v>3280</v>
      </c>
      <c r="I7" s="4">
        <v>4430</v>
      </c>
      <c r="J7" s="4">
        <v>205.99</v>
      </c>
      <c r="K7" s="8">
        <f>ROUNDUP([1]!表1[[#This Row],[CREDIT_0]]/[1]!表1[[#This Row],[RECHARGE_0]]*1.62*[1]!表1[[#This Row],[RECHARGE_2]],0)</f>
        <v>3338</v>
      </c>
      <c r="L7" s="4">
        <v>4600</v>
      </c>
      <c r="M7" s="4">
        <v>0</v>
      </c>
      <c r="O7" s="1" t="s">
        <v>79</v>
      </c>
    </row>
    <row r="8" spans="1:15">
      <c r="A8" s="2">
        <v>10008</v>
      </c>
      <c r="B8" s="2" t="s">
        <v>21</v>
      </c>
      <c r="C8" s="2"/>
      <c r="D8" s="2"/>
      <c r="E8" s="2"/>
      <c r="F8" s="2" t="s">
        <v>9</v>
      </c>
      <c r="G8" s="4">
        <v>488</v>
      </c>
      <c r="H8" s="4">
        <v>4880</v>
      </c>
      <c r="I8" s="4">
        <v>6830</v>
      </c>
      <c r="J8" s="4">
        <v>309.99</v>
      </c>
      <c r="K8" s="8">
        <f>ROUNDUP([1]!表1[[#This Row],[CREDIT_0]]/[1]!表1[[#This Row],[RECHARGE_0]]*1.62*[1]!表1[[#This Row],[RECHARGE_2]],0)</f>
        <v>5022</v>
      </c>
      <c r="L8" s="4">
        <v>7170</v>
      </c>
      <c r="M8" s="4">
        <v>0</v>
      </c>
      <c r="O8" s="1" t="s">
        <v>80</v>
      </c>
    </row>
    <row r="9" spans="1:15">
      <c r="A9" s="2">
        <v>10009</v>
      </c>
      <c r="B9" s="2" t="s">
        <v>21</v>
      </c>
      <c r="C9" s="2"/>
      <c r="D9" s="2"/>
      <c r="E9" s="2"/>
      <c r="F9" s="2" t="s">
        <v>10</v>
      </c>
      <c r="G9" s="4">
        <v>648</v>
      </c>
      <c r="H9" s="4">
        <v>6480</v>
      </c>
      <c r="I9" s="4">
        <v>9400</v>
      </c>
      <c r="J9" s="4">
        <v>672.99</v>
      </c>
      <c r="K9" s="8">
        <f>ROUNDUP([1]!表1[[#This Row],[CREDIT_0]]/[1]!表1[[#This Row],[RECHARGE_0]]*1.62*[1]!表1[[#This Row],[RECHARGE_2]],0)</f>
        <v>10903</v>
      </c>
      <c r="L9" s="4">
        <v>9900</v>
      </c>
      <c r="M9" s="4">
        <v>0</v>
      </c>
      <c r="O9" s="1" t="s">
        <v>81</v>
      </c>
    </row>
    <row r="10" spans="1:15">
      <c r="A10" s="2">
        <v>20001</v>
      </c>
      <c r="B10" s="2" t="s">
        <v>22</v>
      </c>
      <c r="C10" s="2" t="s">
        <v>69</v>
      </c>
      <c r="D10" s="2" t="s">
        <v>70</v>
      </c>
      <c r="E10" s="8"/>
      <c r="F10" s="2" t="s">
        <v>49</v>
      </c>
      <c r="G10" s="4">
        <v>30</v>
      </c>
      <c r="H10" s="4">
        <v>0</v>
      </c>
      <c r="I10" s="4">
        <v>0</v>
      </c>
      <c r="J10" s="4">
        <v>40.99</v>
      </c>
      <c r="K10" s="8">
        <f>ROUNDUP([1]!表1[[#This Row],[CREDIT_0]]/[1]!表1[[#This Row],[RECHARGE_0]]*1.62*[1]!表1[[#This Row],[RECHARGE_2]],0)</f>
        <v>0</v>
      </c>
      <c r="L10" s="4">
        <v>0</v>
      </c>
      <c r="M10" s="4">
        <v>0</v>
      </c>
      <c r="O10" s="1" t="s">
        <v>82</v>
      </c>
    </row>
    <row r="11" spans="1:15" s="4" customFormat="1">
      <c r="A11" s="2">
        <v>20002</v>
      </c>
      <c r="B11" s="2" t="s">
        <v>22</v>
      </c>
      <c r="C11" s="2" t="s">
        <v>66</v>
      </c>
      <c r="D11" s="2" t="s">
        <v>71</v>
      </c>
      <c r="E11" s="8"/>
      <c r="F11" s="2" t="s">
        <v>50</v>
      </c>
      <c r="G11" s="4">
        <v>68</v>
      </c>
      <c r="H11" s="4">
        <v>0</v>
      </c>
      <c r="I11" s="4">
        <v>0</v>
      </c>
      <c r="J11" s="4">
        <v>61.99</v>
      </c>
      <c r="K11" s="8">
        <f>ROUNDUP([1]!表1[[#This Row],[CREDIT_0]]/[1]!表1[[#This Row],[RECHARGE_0]]*1.62*[1]!表1[[#This Row],[RECHARGE_2]],0)</f>
        <v>0</v>
      </c>
      <c r="L11" s="4">
        <v>0</v>
      </c>
      <c r="M11" s="4">
        <v>0</v>
      </c>
      <c r="O11" s="4" t="s">
        <v>83</v>
      </c>
    </row>
    <row r="12" spans="1:15" s="4" customFormat="1">
      <c r="A12" s="2">
        <v>20003</v>
      </c>
      <c r="B12" s="2" t="s">
        <v>22</v>
      </c>
      <c r="C12" s="2" t="s">
        <v>67</v>
      </c>
      <c r="D12" s="2" t="s">
        <v>72</v>
      </c>
      <c r="E12" s="8"/>
      <c r="F12" s="2" t="s">
        <v>51</v>
      </c>
      <c r="G12" s="4">
        <v>128</v>
      </c>
      <c r="H12" s="4">
        <v>0</v>
      </c>
      <c r="I12" s="4">
        <v>0</v>
      </c>
      <c r="J12" s="4">
        <v>81.99</v>
      </c>
      <c r="K12" s="8">
        <f>ROUNDUP([1]!表1[[#This Row],[CREDIT_0]]/[1]!表1[[#This Row],[RECHARGE_0]]*1.62*[1]!表1[[#This Row],[RECHARGE_2]],0)</f>
        <v>0</v>
      </c>
      <c r="L12" s="4">
        <v>0</v>
      </c>
      <c r="M12" s="4">
        <v>0</v>
      </c>
      <c r="O12" s="4" t="s">
        <v>84</v>
      </c>
    </row>
    <row r="13" spans="1:15" s="4" customFormat="1">
      <c r="A13" s="2">
        <v>20004</v>
      </c>
      <c r="B13" s="2" t="s">
        <v>22</v>
      </c>
      <c r="C13" s="2" t="s">
        <v>68</v>
      </c>
      <c r="D13" s="2" t="s">
        <v>73</v>
      </c>
      <c r="E13" s="8"/>
      <c r="F13" s="2" t="s">
        <v>52</v>
      </c>
      <c r="G13" s="4">
        <v>328</v>
      </c>
      <c r="H13" s="4">
        <v>0</v>
      </c>
      <c r="I13" s="4">
        <v>0</v>
      </c>
      <c r="J13" s="4">
        <v>205.99</v>
      </c>
      <c r="K13" s="8">
        <f>ROUNDUP([1]!表1[[#This Row],[CREDIT_0]]/[1]!表1[[#This Row],[RECHARGE_0]]*1.62*[1]!表1[[#This Row],[RECHARGE_2]],0)</f>
        <v>0</v>
      </c>
      <c r="L13" s="4">
        <v>0</v>
      </c>
      <c r="M13" s="4">
        <v>0</v>
      </c>
      <c r="O13" s="4" t="s">
        <v>85</v>
      </c>
    </row>
    <row r="14" spans="1:15" s="4" customFormat="1">
      <c r="A14" s="2" t="s">
        <v>53</v>
      </c>
      <c r="B14" s="2" t="s">
        <v>58</v>
      </c>
      <c r="C14" s="2">
        <v>1001</v>
      </c>
      <c r="D14" s="2"/>
      <c r="E14" s="2"/>
      <c r="F14" s="2" t="s">
        <v>61</v>
      </c>
      <c r="G14" s="4">
        <v>1</v>
      </c>
      <c r="H14" s="4">
        <v>0</v>
      </c>
      <c r="I14" s="4">
        <v>0</v>
      </c>
      <c r="J14" s="4">
        <v>5.99</v>
      </c>
      <c r="K14" s="8">
        <f>ROUNDUP([1]!表1[[#This Row],[CREDIT_0]]/[1]!表1[[#This Row],[RECHARGE_0]]*1.62*[1]!表1[[#This Row],[RECHARGE_2]],0)</f>
        <v>0</v>
      </c>
      <c r="L14" s="4">
        <v>0</v>
      </c>
      <c r="M14" s="4">
        <v>0</v>
      </c>
      <c r="O14" s="4" t="s">
        <v>86</v>
      </c>
    </row>
    <row r="15" spans="1:15" s="4" customFormat="1">
      <c r="A15" s="2" t="s">
        <v>54</v>
      </c>
      <c r="B15" s="2" t="s">
        <v>58</v>
      </c>
      <c r="C15" s="2">
        <v>1002</v>
      </c>
      <c r="D15" s="2"/>
      <c r="E15" s="2"/>
      <c r="F15" s="2" t="s">
        <v>62</v>
      </c>
      <c r="G15" s="4">
        <v>6</v>
      </c>
      <c r="H15" s="4">
        <v>0</v>
      </c>
      <c r="I15" s="4">
        <v>0</v>
      </c>
      <c r="J15" s="4">
        <v>19.989999999999998</v>
      </c>
      <c r="K15" s="8">
        <f>ROUNDUP([1]!表1[[#This Row],[CREDIT_0]]/[1]!表1[[#This Row],[RECHARGE_0]]*1.62*[1]!表1[[#This Row],[RECHARGE_2]],0)</f>
        <v>0</v>
      </c>
      <c r="L15" s="4">
        <v>0</v>
      </c>
      <c r="M15" s="4">
        <v>0</v>
      </c>
      <c r="O15" s="4" t="s">
        <v>87</v>
      </c>
    </row>
    <row r="16" spans="1:15" s="4" customFormat="1">
      <c r="A16" s="2" t="s">
        <v>55</v>
      </c>
      <c r="B16" s="2" t="s">
        <v>58</v>
      </c>
      <c r="C16" s="2">
        <v>1003</v>
      </c>
      <c r="D16" s="2"/>
      <c r="E16" s="2"/>
      <c r="F16" s="2" t="s">
        <v>63</v>
      </c>
      <c r="G16" s="4">
        <v>30</v>
      </c>
      <c r="H16" s="4">
        <v>0</v>
      </c>
      <c r="I16" s="4">
        <v>0</v>
      </c>
      <c r="J16" s="4">
        <v>40.99</v>
      </c>
      <c r="K16" s="8">
        <f>ROUNDUP([1]!表1[[#This Row],[CREDIT_0]]/[1]!表1[[#This Row],[RECHARGE_0]]*1.62*[1]!表1[[#This Row],[RECHARGE_2]],0)</f>
        <v>0</v>
      </c>
      <c r="L16" s="4">
        <v>0</v>
      </c>
      <c r="M16" s="4">
        <v>0</v>
      </c>
      <c r="O16" s="4" t="s">
        <v>88</v>
      </c>
    </row>
    <row r="17" spans="1:15" s="4" customFormat="1">
      <c r="A17" s="2" t="s">
        <v>56</v>
      </c>
      <c r="B17" s="2" t="s">
        <v>59</v>
      </c>
      <c r="C17" s="2">
        <v>1004</v>
      </c>
      <c r="D17" s="2"/>
      <c r="E17" s="2"/>
      <c r="F17" s="2" t="s">
        <v>64</v>
      </c>
      <c r="G17" s="4">
        <v>68</v>
      </c>
      <c r="H17" s="4">
        <v>0</v>
      </c>
      <c r="I17" s="4">
        <v>0</v>
      </c>
      <c r="J17" s="4">
        <v>61.99</v>
      </c>
      <c r="K17" s="8">
        <f>ROUNDUP([1]!表1[[#This Row],[CREDIT_0]]/[1]!表1[[#This Row],[RECHARGE_0]]*1.62*[1]!表1[[#This Row],[RECHARGE_2]],0)</f>
        <v>0</v>
      </c>
      <c r="L17" s="4">
        <v>0</v>
      </c>
      <c r="M17" s="4">
        <v>0</v>
      </c>
      <c r="O17" s="4" t="s">
        <v>89</v>
      </c>
    </row>
    <row r="18" spans="1:15" s="4" customFormat="1">
      <c r="A18" s="2" t="s">
        <v>57</v>
      </c>
      <c r="B18" s="2" t="s">
        <v>60</v>
      </c>
      <c r="C18" s="2">
        <v>1005</v>
      </c>
      <c r="D18" s="2"/>
      <c r="E18" s="2"/>
      <c r="F18" s="2" t="s">
        <v>65</v>
      </c>
      <c r="G18" s="4">
        <v>128</v>
      </c>
      <c r="H18" s="4">
        <v>0</v>
      </c>
      <c r="I18" s="4">
        <v>0</v>
      </c>
      <c r="J18" s="4">
        <v>81.99</v>
      </c>
      <c r="K18" s="8">
        <f>ROUNDUP([1]!表1[[#This Row],[CREDIT_0]]/[1]!表1[[#This Row],[RECHARGE_0]]*1.62*[1]!表1[[#This Row],[RECHARGE_2]],0)</f>
        <v>0</v>
      </c>
      <c r="L18" s="4">
        <v>0</v>
      </c>
      <c r="M18" s="4">
        <v>0</v>
      </c>
      <c r="O18" s="4" t="s">
        <v>90</v>
      </c>
    </row>
    <row r="19" spans="1:15" s="4" customFormat="1">
      <c r="A19" s="8">
        <v>200001</v>
      </c>
      <c r="B19" s="5" t="s">
        <v>23</v>
      </c>
      <c r="C19" s="8">
        <v>20000</v>
      </c>
      <c r="D19" s="7">
        <v>0</v>
      </c>
      <c r="E19" s="7"/>
      <c r="F19" s="5" t="s">
        <v>27</v>
      </c>
      <c r="G19" s="6">
        <v>30</v>
      </c>
      <c r="H19" s="6">
        <v>0</v>
      </c>
      <c r="I19" s="6">
        <v>0</v>
      </c>
      <c r="J19" s="4">
        <v>40.99</v>
      </c>
      <c r="K19" s="8">
        <f>ROUNDUP([1]!表1[[#This Row],[CREDIT_0]]/[1]!表1[[#This Row],[RECHARGE_0]]*1.62*[1]!表1[[#This Row],[RECHARGE_2]],0)</f>
        <v>0</v>
      </c>
      <c r="L19" s="6">
        <v>0</v>
      </c>
      <c r="M19" s="4">
        <v>0</v>
      </c>
      <c r="O19" s="4" t="s">
        <v>91</v>
      </c>
    </row>
    <row r="20" spans="1:15">
      <c r="A20" s="8">
        <v>200002</v>
      </c>
      <c r="B20" s="5" t="s">
        <v>23</v>
      </c>
      <c r="C20" s="8">
        <v>20000</v>
      </c>
      <c r="D20" s="7">
        <v>0</v>
      </c>
      <c r="E20" s="7"/>
      <c r="F20" s="5" t="s">
        <v>24</v>
      </c>
      <c r="G20" s="4">
        <v>25</v>
      </c>
      <c r="H20" s="6">
        <v>0</v>
      </c>
      <c r="I20" s="6">
        <v>0</v>
      </c>
      <c r="J20" s="4">
        <v>25.99</v>
      </c>
      <c r="K20" s="8">
        <f>ROUNDUP([1]!表1[[#This Row],[CREDIT_0]]/[1]!表1[[#This Row],[RECHARGE_0]]*1.62*[1]!表1[[#This Row],[RECHARGE_2]],0)</f>
        <v>0</v>
      </c>
      <c r="L20" s="6">
        <v>0</v>
      </c>
      <c r="M20" s="4">
        <v>0</v>
      </c>
      <c r="O20" s="1" t="s">
        <v>91</v>
      </c>
    </row>
    <row r="21" spans="1:15">
      <c r="A21" s="8">
        <v>200003</v>
      </c>
      <c r="B21" s="5" t="s">
        <v>23</v>
      </c>
      <c r="C21" s="8">
        <v>20000</v>
      </c>
      <c r="D21" s="7">
        <v>0</v>
      </c>
      <c r="E21" s="7"/>
      <c r="F21" s="5" t="s">
        <v>25</v>
      </c>
      <c r="G21" s="4">
        <v>12</v>
      </c>
      <c r="H21" s="6">
        <v>0</v>
      </c>
      <c r="I21" s="6">
        <v>0</v>
      </c>
      <c r="J21" s="4">
        <v>12.99</v>
      </c>
      <c r="K21" s="8">
        <f>ROUNDUP([1]!表1[[#This Row],[CREDIT_0]]/[1]!表1[[#This Row],[RECHARGE_0]]*1.62*[1]!表1[[#This Row],[RECHARGE_2]],0)</f>
        <v>0</v>
      </c>
      <c r="L21" s="6">
        <v>0</v>
      </c>
      <c r="M21" s="4">
        <v>0</v>
      </c>
      <c r="O21" s="1" t="s">
        <v>91</v>
      </c>
    </row>
    <row r="22" spans="1:15">
      <c r="A22" s="8">
        <v>200004</v>
      </c>
      <c r="B22" s="5" t="s">
        <v>23</v>
      </c>
      <c r="C22" s="8">
        <v>20000</v>
      </c>
      <c r="D22" s="7">
        <v>0</v>
      </c>
      <c r="E22" s="7"/>
      <c r="F22" s="5" t="s">
        <v>26</v>
      </c>
      <c r="G22" s="4">
        <v>3</v>
      </c>
      <c r="H22" s="6">
        <v>0</v>
      </c>
      <c r="I22" s="6">
        <v>0</v>
      </c>
      <c r="J22" s="4">
        <v>5.99</v>
      </c>
      <c r="K22" s="8">
        <f>ROUNDUP([1]!表1[[#This Row],[CREDIT_0]]/[1]!表1[[#This Row],[RECHARGE_0]]*1.62*[1]!表1[[#This Row],[RECHARGE_2]],0)</f>
        <v>0</v>
      </c>
      <c r="L22" s="6">
        <v>0</v>
      </c>
      <c r="M22" s="4">
        <v>0</v>
      </c>
      <c r="O22" s="1" t="s">
        <v>91</v>
      </c>
    </row>
    <row r="23" spans="1:15">
      <c r="A23" s="8">
        <v>200101</v>
      </c>
      <c r="B23" s="5" t="s">
        <v>23</v>
      </c>
      <c r="C23" s="7">
        <v>20001</v>
      </c>
      <c r="D23" s="7">
        <v>0</v>
      </c>
      <c r="E23" s="7"/>
      <c r="F23" s="5" t="s">
        <v>28</v>
      </c>
      <c r="G23" s="4">
        <v>68</v>
      </c>
      <c r="H23" s="6">
        <v>0</v>
      </c>
      <c r="I23" s="6">
        <v>0</v>
      </c>
      <c r="J23" s="4">
        <v>61.99</v>
      </c>
      <c r="K23" s="8">
        <f>ROUNDUP([1]!表1[[#This Row],[CREDIT_0]]/[1]!表1[[#This Row],[RECHARGE_0]]*1.62*[1]!表1[[#This Row],[RECHARGE_2]],0)</f>
        <v>0</v>
      </c>
      <c r="L23" s="6">
        <v>0</v>
      </c>
      <c r="M23" s="4">
        <v>0</v>
      </c>
      <c r="O23" s="1" t="s">
        <v>92</v>
      </c>
    </row>
    <row r="24" spans="1:15">
      <c r="A24" s="8">
        <v>200102</v>
      </c>
      <c r="B24" s="5" t="s">
        <v>22</v>
      </c>
      <c r="C24" s="7">
        <v>20001</v>
      </c>
      <c r="D24" s="7">
        <v>0</v>
      </c>
      <c r="E24" s="7"/>
      <c r="F24" s="5" t="s">
        <v>29</v>
      </c>
      <c r="G24" s="4">
        <v>40</v>
      </c>
      <c r="H24" s="6">
        <v>0</v>
      </c>
      <c r="I24" s="6">
        <v>0</v>
      </c>
      <c r="J24" s="4">
        <v>39.99</v>
      </c>
      <c r="K24" s="8">
        <f>ROUNDUP([1]!表1[[#This Row],[CREDIT_0]]/[1]!表1[[#This Row],[RECHARGE_0]]*1.62*[1]!表1[[#This Row],[RECHARGE_2]],0)</f>
        <v>0</v>
      </c>
      <c r="L24" s="6">
        <v>0</v>
      </c>
      <c r="M24" s="4">
        <v>0</v>
      </c>
      <c r="O24" s="1" t="s">
        <v>92</v>
      </c>
    </row>
    <row r="25" spans="1:15">
      <c r="A25" s="8">
        <v>200103</v>
      </c>
      <c r="B25" s="5" t="s">
        <v>22</v>
      </c>
      <c r="C25" s="7">
        <v>20001</v>
      </c>
      <c r="D25" s="7">
        <v>0</v>
      </c>
      <c r="E25" s="7"/>
      <c r="F25" s="5" t="s">
        <v>30</v>
      </c>
      <c r="G25" s="4">
        <v>30</v>
      </c>
      <c r="H25" s="6">
        <v>0</v>
      </c>
      <c r="I25" s="6">
        <v>0</v>
      </c>
      <c r="J25" s="4">
        <v>40.99</v>
      </c>
      <c r="K25" s="8">
        <f>ROUNDUP([1]!表1[[#This Row],[CREDIT_0]]/[1]!表1[[#This Row],[RECHARGE_0]]*1.62*[1]!表1[[#This Row],[RECHARGE_2]],0)</f>
        <v>0</v>
      </c>
      <c r="L25" s="6">
        <v>0</v>
      </c>
      <c r="M25" s="4">
        <v>0</v>
      </c>
      <c r="O25" s="1" t="s">
        <v>92</v>
      </c>
    </row>
    <row r="26" spans="1:15">
      <c r="A26" s="8">
        <v>200104</v>
      </c>
      <c r="B26" s="5" t="s">
        <v>22</v>
      </c>
      <c r="C26" s="7">
        <v>20001</v>
      </c>
      <c r="D26" s="7">
        <v>0</v>
      </c>
      <c r="E26" s="7"/>
      <c r="F26" s="5" t="s">
        <v>31</v>
      </c>
      <c r="G26" s="4">
        <v>12</v>
      </c>
      <c r="H26" s="6">
        <v>0</v>
      </c>
      <c r="I26" s="6">
        <v>0</v>
      </c>
      <c r="J26" s="4">
        <v>12.99</v>
      </c>
      <c r="K26" s="8">
        <f>ROUNDUP([1]!表1[[#This Row],[CREDIT_0]]/[1]!表1[[#This Row],[RECHARGE_0]]*1.62*[1]!表1[[#This Row],[RECHARGE_2]],0)</f>
        <v>0</v>
      </c>
      <c r="L26" s="6">
        <v>0</v>
      </c>
      <c r="M26" s="4">
        <v>0</v>
      </c>
      <c r="O26" s="1" t="s">
        <v>92</v>
      </c>
    </row>
    <row r="27" spans="1:15">
      <c r="A27" s="8">
        <v>200201</v>
      </c>
      <c r="B27" s="5" t="s">
        <v>22</v>
      </c>
      <c r="C27" s="8">
        <v>20002</v>
      </c>
      <c r="D27" s="7">
        <v>0</v>
      </c>
      <c r="E27" s="7"/>
      <c r="F27" s="5" t="s">
        <v>32</v>
      </c>
      <c r="G27" s="4">
        <v>18</v>
      </c>
      <c r="H27" s="6">
        <v>0</v>
      </c>
      <c r="I27" s="6">
        <v>0</v>
      </c>
      <c r="J27" s="4">
        <v>19.989999999999998</v>
      </c>
      <c r="K27" s="8">
        <f>ROUNDUP([1]!表1[[#This Row],[CREDIT_0]]/[1]!表1[[#This Row],[RECHARGE_0]]*1.62*[1]!表1[[#This Row],[RECHARGE_2]],0)</f>
        <v>0</v>
      </c>
      <c r="L27" s="6">
        <v>0</v>
      </c>
      <c r="M27" s="4">
        <v>0</v>
      </c>
      <c r="O27" s="1" t="s">
        <v>93</v>
      </c>
    </row>
    <row r="28" spans="1:15">
      <c r="A28" s="8">
        <v>200202</v>
      </c>
      <c r="B28" s="5" t="s">
        <v>22</v>
      </c>
      <c r="C28" s="8">
        <v>20002</v>
      </c>
      <c r="D28" s="7">
        <v>0</v>
      </c>
      <c r="E28" s="7"/>
      <c r="F28" s="5" t="s">
        <v>33</v>
      </c>
      <c r="G28" s="4">
        <v>12</v>
      </c>
      <c r="H28" s="6">
        <v>0</v>
      </c>
      <c r="I28" s="6">
        <v>0</v>
      </c>
      <c r="J28" s="4">
        <v>12.99</v>
      </c>
      <c r="K28" s="8">
        <f>ROUNDUP([1]!表1[[#This Row],[CREDIT_0]]/[1]!表1[[#This Row],[RECHARGE_0]]*1.62*[1]!表1[[#This Row],[RECHARGE_2]],0)</f>
        <v>0</v>
      </c>
      <c r="L28" s="6">
        <v>0</v>
      </c>
      <c r="M28" s="4">
        <v>0</v>
      </c>
      <c r="O28" s="1" t="s">
        <v>93</v>
      </c>
    </row>
    <row r="29" spans="1:15">
      <c r="A29" s="8">
        <v>200203</v>
      </c>
      <c r="B29" s="5" t="s">
        <v>22</v>
      </c>
      <c r="C29" s="8">
        <v>20002</v>
      </c>
      <c r="D29" s="7">
        <v>0</v>
      </c>
      <c r="E29" s="7"/>
      <c r="F29" s="5" t="s">
        <v>34</v>
      </c>
      <c r="G29" s="4">
        <v>8</v>
      </c>
      <c r="H29" s="6">
        <v>0</v>
      </c>
      <c r="I29" s="6">
        <v>0</v>
      </c>
      <c r="J29" s="4">
        <v>5.99</v>
      </c>
      <c r="K29" s="8">
        <f>ROUNDUP([1]!表1[[#This Row],[CREDIT_0]]/[1]!表1[[#This Row],[RECHARGE_0]]*1.62*[1]!表1[[#This Row],[RECHARGE_2]],0)</f>
        <v>0</v>
      </c>
      <c r="L29" s="6">
        <v>0</v>
      </c>
      <c r="M29" s="4">
        <v>0</v>
      </c>
      <c r="O29" s="1" t="s">
        <v>93</v>
      </c>
    </row>
    <row r="30" spans="1:15">
      <c r="A30" s="8">
        <v>200204</v>
      </c>
      <c r="B30" s="5" t="s">
        <v>22</v>
      </c>
      <c r="C30" s="8">
        <v>20002</v>
      </c>
      <c r="D30" s="7">
        <v>0</v>
      </c>
      <c r="E30" s="7"/>
      <c r="F30" s="5" t="s">
        <v>35</v>
      </c>
      <c r="G30" s="4">
        <v>3</v>
      </c>
      <c r="H30" s="6">
        <v>0</v>
      </c>
      <c r="I30" s="6">
        <v>0</v>
      </c>
      <c r="J30" s="4">
        <v>5.99</v>
      </c>
      <c r="K30" s="8">
        <f>ROUNDUP([1]!表1[[#This Row],[CREDIT_0]]/[1]!表1[[#This Row],[RECHARGE_0]]*1.62*[1]!表1[[#This Row],[RECHARGE_2]],0)</f>
        <v>0</v>
      </c>
      <c r="L30" s="6">
        <v>0</v>
      </c>
      <c r="M30" s="4">
        <v>0</v>
      </c>
      <c r="O30" s="1" t="s">
        <v>93</v>
      </c>
    </row>
    <row r="31" spans="1:15">
      <c r="A31" s="8">
        <v>200301</v>
      </c>
      <c r="B31" s="5" t="s">
        <v>22</v>
      </c>
      <c r="C31" s="8">
        <v>20003</v>
      </c>
      <c r="D31" s="7">
        <v>0</v>
      </c>
      <c r="E31" s="7"/>
      <c r="F31" s="5" t="s">
        <v>36</v>
      </c>
      <c r="G31" s="4">
        <v>40</v>
      </c>
      <c r="H31" s="6">
        <v>0</v>
      </c>
      <c r="I31" s="6">
        <v>0</v>
      </c>
      <c r="J31" s="4">
        <v>39.99</v>
      </c>
      <c r="K31" s="8">
        <f>ROUNDUP([1]!表1[[#This Row],[CREDIT_0]]/[1]!表1[[#This Row],[RECHARGE_0]]*1.62*[1]!表1[[#This Row],[RECHARGE_2]],0)</f>
        <v>0</v>
      </c>
      <c r="L31" s="6">
        <v>0</v>
      </c>
      <c r="M31" s="4">
        <v>0</v>
      </c>
      <c r="O31" s="1" t="s">
        <v>94</v>
      </c>
    </row>
    <row r="32" spans="1:15">
      <c r="A32" s="8">
        <v>200302</v>
      </c>
      <c r="B32" s="5" t="s">
        <v>22</v>
      </c>
      <c r="C32" s="8">
        <v>20003</v>
      </c>
      <c r="D32" s="7">
        <v>0</v>
      </c>
      <c r="E32" s="7"/>
      <c r="F32" s="5" t="s">
        <v>37</v>
      </c>
      <c r="G32" s="4">
        <v>30</v>
      </c>
      <c r="H32" s="6">
        <v>0</v>
      </c>
      <c r="I32" s="6">
        <v>0</v>
      </c>
      <c r="J32" s="4">
        <v>40.99</v>
      </c>
      <c r="K32" s="8">
        <f>ROUNDUP([1]!表1[[#This Row],[CREDIT_0]]/[1]!表1[[#This Row],[RECHARGE_0]]*1.62*[1]!表1[[#This Row],[RECHARGE_2]],0)</f>
        <v>0</v>
      </c>
      <c r="L32" s="6">
        <v>0</v>
      </c>
      <c r="M32" s="4">
        <v>0</v>
      </c>
      <c r="O32" s="1" t="s">
        <v>94</v>
      </c>
    </row>
    <row r="33" spans="1:15">
      <c r="A33" s="8">
        <v>200303</v>
      </c>
      <c r="B33" s="5" t="s">
        <v>22</v>
      </c>
      <c r="C33" s="8">
        <v>20003</v>
      </c>
      <c r="D33" s="7">
        <v>0</v>
      </c>
      <c r="E33" s="7"/>
      <c r="F33" s="5" t="s">
        <v>38</v>
      </c>
      <c r="G33" s="4">
        <v>18</v>
      </c>
      <c r="H33" s="6">
        <v>0</v>
      </c>
      <c r="I33" s="6">
        <v>0</v>
      </c>
      <c r="J33" s="4">
        <v>19.989999999999998</v>
      </c>
      <c r="K33" s="8">
        <f>ROUNDUP([1]!表1[[#This Row],[CREDIT_0]]/[1]!表1[[#This Row],[RECHARGE_0]]*1.62*[1]!表1[[#This Row],[RECHARGE_2]],0)</f>
        <v>0</v>
      </c>
      <c r="L33" s="6">
        <v>0</v>
      </c>
      <c r="M33" s="4">
        <v>0</v>
      </c>
      <c r="O33" s="1" t="s">
        <v>94</v>
      </c>
    </row>
    <row r="34" spans="1:15">
      <c r="A34" s="8">
        <v>200304</v>
      </c>
      <c r="B34" s="5" t="s">
        <v>22</v>
      </c>
      <c r="C34" s="8">
        <v>20003</v>
      </c>
      <c r="D34" s="7">
        <v>0</v>
      </c>
      <c r="E34" s="7"/>
      <c r="F34" s="5" t="s">
        <v>39</v>
      </c>
      <c r="G34" s="4">
        <v>8</v>
      </c>
      <c r="H34" s="6">
        <v>0</v>
      </c>
      <c r="I34" s="6">
        <v>0</v>
      </c>
      <c r="J34" s="4">
        <v>5.99</v>
      </c>
      <c r="K34" s="8">
        <f>ROUNDUP([1]!表1[[#This Row],[CREDIT_0]]/[1]!表1[[#This Row],[RECHARGE_0]]*1.62*[1]!表1[[#This Row],[RECHARGE_2]],0)</f>
        <v>0</v>
      </c>
      <c r="L34" s="6">
        <v>0</v>
      </c>
      <c r="M34" s="4">
        <v>0</v>
      </c>
      <c r="O34" s="1" t="s">
        <v>94</v>
      </c>
    </row>
    <row r="35" spans="1:15">
      <c r="A35" s="9">
        <v>200401</v>
      </c>
      <c r="B35" s="5" t="s">
        <v>22</v>
      </c>
      <c r="C35" s="8">
        <v>20004</v>
      </c>
      <c r="D35" s="7">
        <v>0</v>
      </c>
      <c r="E35" s="7"/>
      <c r="F35" s="5" t="s">
        <v>40</v>
      </c>
      <c r="G35" s="4">
        <v>98</v>
      </c>
      <c r="H35" s="6">
        <v>0</v>
      </c>
      <c r="I35" s="6">
        <v>0</v>
      </c>
      <c r="J35" s="4">
        <v>61.99</v>
      </c>
      <c r="K35" s="8">
        <f>ROUNDUP([1]!表1[[#This Row],[CREDIT_0]]/[1]!表1[[#This Row],[RECHARGE_0]]*1.62*[1]!表1[[#This Row],[RECHARGE_2]],0)</f>
        <v>0</v>
      </c>
      <c r="L35" s="6">
        <v>0</v>
      </c>
      <c r="M35" s="4">
        <v>0</v>
      </c>
      <c r="O35" s="1" t="s">
        <v>95</v>
      </c>
    </row>
    <row r="36" spans="1:15">
      <c r="A36" s="10">
        <v>200402</v>
      </c>
      <c r="B36" s="5" t="s">
        <v>22</v>
      </c>
      <c r="C36" s="8">
        <v>20004</v>
      </c>
      <c r="D36" s="7">
        <v>0</v>
      </c>
      <c r="E36" s="7"/>
      <c r="F36" s="5" t="s">
        <v>41</v>
      </c>
      <c r="G36" s="4">
        <v>68</v>
      </c>
      <c r="H36" s="6">
        <v>0</v>
      </c>
      <c r="I36" s="6">
        <v>0</v>
      </c>
      <c r="J36" s="4">
        <v>61.99</v>
      </c>
      <c r="K36" s="8">
        <f>ROUNDUP([1]!表1[[#This Row],[CREDIT_0]]/[1]!表1[[#This Row],[RECHARGE_0]]*1.62*[1]!表1[[#This Row],[RECHARGE_2]],0)</f>
        <v>0</v>
      </c>
      <c r="L36" s="6">
        <v>0</v>
      </c>
      <c r="M36" s="4">
        <v>0</v>
      </c>
      <c r="O36" s="1" t="s">
        <v>95</v>
      </c>
    </row>
    <row r="37" spans="1:15">
      <c r="A37" s="9">
        <v>200403</v>
      </c>
      <c r="B37" s="5" t="s">
        <v>22</v>
      </c>
      <c r="C37" s="8">
        <v>20004</v>
      </c>
      <c r="D37" s="7">
        <v>0</v>
      </c>
      <c r="E37" s="7"/>
      <c r="F37" s="5" t="s">
        <v>42</v>
      </c>
      <c r="G37" s="4">
        <v>49</v>
      </c>
      <c r="H37" s="6">
        <v>0</v>
      </c>
      <c r="I37" s="6">
        <v>0</v>
      </c>
      <c r="J37" s="4">
        <v>52.99</v>
      </c>
      <c r="K37" s="8">
        <f>ROUNDUP([1]!表1[[#This Row],[CREDIT_0]]/[1]!表1[[#This Row],[RECHARGE_0]]*1.62*[1]!表1[[#This Row],[RECHARGE_2]],0)</f>
        <v>0</v>
      </c>
      <c r="L37" s="6">
        <v>0</v>
      </c>
      <c r="M37" s="4">
        <v>0</v>
      </c>
      <c r="O37" s="1" t="s">
        <v>95</v>
      </c>
    </row>
    <row r="38" spans="1:15">
      <c r="A38" s="11">
        <v>200404</v>
      </c>
      <c r="B38" s="5" t="s">
        <v>22</v>
      </c>
      <c r="C38" s="8">
        <v>20004</v>
      </c>
      <c r="D38" s="7">
        <v>0</v>
      </c>
      <c r="E38" s="7"/>
      <c r="F38" s="5" t="s">
        <v>43</v>
      </c>
      <c r="G38" s="4">
        <v>18</v>
      </c>
      <c r="H38" s="6">
        <v>0</v>
      </c>
      <c r="I38" s="6">
        <v>0</v>
      </c>
      <c r="J38" s="4">
        <v>19.989999999999998</v>
      </c>
      <c r="K38" s="8">
        <f>ROUNDUP([1]!表1[[#This Row],[CREDIT_0]]/[1]!表1[[#This Row],[RECHARGE_0]]*1.62*[1]!表1[[#This Row],[RECHARGE_2]],0)</f>
        <v>0</v>
      </c>
      <c r="L38" s="6">
        <v>0</v>
      </c>
      <c r="M38" s="4">
        <v>0</v>
      </c>
      <c r="O38" s="1" t="s">
        <v>95</v>
      </c>
    </row>
    <row r="39" spans="1:15">
      <c r="A39" s="9">
        <v>200501</v>
      </c>
      <c r="B39" s="5" t="s">
        <v>22</v>
      </c>
      <c r="C39" s="8">
        <v>20005</v>
      </c>
      <c r="D39" s="7">
        <v>0</v>
      </c>
      <c r="E39" s="7"/>
      <c r="F39" s="5" t="s">
        <v>44</v>
      </c>
      <c r="G39" s="4">
        <v>68</v>
      </c>
      <c r="H39" s="6">
        <v>0</v>
      </c>
      <c r="I39" s="6">
        <v>0</v>
      </c>
      <c r="J39" s="4">
        <v>61.99</v>
      </c>
      <c r="K39" s="8">
        <f>ROUNDUP([1]!表1[[#This Row],[CREDIT_0]]/[1]!表1[[#This Row],[RECHARGE_0]]*1.62*[1]!表1[[#This Row],[RECHARGE_2]],0)</f>
        <v>0</v>
      </c>
      <c r="L39" s="6">
        <v>0</v>
      </c>
      <c r="M39" s="4">
        <v>0</v>
      </c>
      <c r="O39" s="1" t="s">
        <v>96</v>
      </c>
    </row>
    <row r="40" spans="1:15">
      <c r="A40" s="10">
        <v>200502</v>
      </c>
      <c r="B40" s="5" t="s">
        <v>22</v>
      </c>
      <c r="C40" s="8">
        <v>20005</v>
      </c>
      <c r="D40" s="7">
        <v>0</v>
      </c>
      <c r="E40" s="7"/>
      <c r="F40" s="5" t="s">
        <v>45</v>
      </c>
      <c r="G40" s="4">
        <v>60</v>
      </c>
      <c r="H40" s="6">
        <v>0</v>
      </c>
      <c r="I40" s="6">
        <v>0</v>
      </c>
      <c r="J40" s="4">
        <v>59.99</v>
      </c>
      <c r="K40" s="8">
        <f>ROUNDUP([1]!表1[[#This Row],[CREDIT_0]]/[1]!表1[[#This Row],[RECHARGE_0]]*1.62*[1]!表1[[#This Row],[RECHARGE_2]],0)</f>
        <v>0</v>
      </c>
      <c r="L40" s="6">
        <v>0</v>
      </c>
      <c r="M40" s="4">
        <v>0</v>
      </c>
      <c r="O40" s="1" t="s">
        <v>96</v>
      </c>
    </row>
    <row r="41" spans="1:15">
      <c r="A41" s="9">
        <v>200503</v>
      </c>
      <c r="B41" s="5" t="s">
        <v>22</v>
      </c>
      <c r="C41" s="8">
        <v>20005</v>
      </c>
      <c r="D41" s="7">
        <v>0</v>
      </c>
      <c r="E41" s="7"/>
      <c r="F41" s="5" t="s">
        <v>46</v>
      </c>
      <c r="G41" s="4">
        <v>40</v>
      </c>
      <c r="H41" s="6">
        <v>0</v>
      </c>
      <c r="I41" s="6">
        <v>0</v>
      </c>
      <c r="J41" s="4">
        <v>39.99</v>
      </c>
      <c r="K41" s="8">
        <f>ROUNDUP([1]!表1[[#This Row],[CREDIT_0]]/[1]!表1[[#This Row],[RECHARGE_0]]*1.62*[1]!表1[[#This Row],[RECHARGE_2]],0)</f>
        <v>0</v>
      </c>
      <c r="L41" s="6">
        <v>0</v>
      </c>
      <c r="M41" s="4">
        <v>0</v>
      </c>
      <c r="O41" s="1" t="s">
        <v>96</v>
      </c>
    </row>
    <row r="42" spans="1:15">
      <c r="A42" s="11">
        <v>200504</v>
      </c>
      <c r="B42" s="5" t="s">
        <v>22</v>
      </c>
      <c r="C42" s="8">
        <v>20005</v>
      </c>
      <c r="D42" s="7">
        <v>0</v>
      </c>
      <c r="E42" s="7"/>
      <c r="F42" s="5" t="s">
        <v>47</v>
      </c>
      <c r="G42" s="4">
        <v>12</v>
      </c>
      <c r="H42" s="6">
        <v>0</v>
      </c>
      <c r="I42" s="6">
        <v>0</v>
      </c>
      <c r="J42" s="4">
        <v>12.99</v>
      </c>
      <c r="K42" s="8">
        <f>ROUNDUP([1]!表1[[#This Row],[CREDIT_0]]/[1]!表1[[#This Row],[RECHARGE_0]]*1.62*[1]!表1[[#This Row],[RECHARGE_2]],0)</f>
        <v>0</v>
      </c>
      <c r="L42" s="6">
        <v>0</v>
      </c>
      <c r="M42" s="4">
        <v>0</v>
      </c>
      <c r="O42" s="1" t="s">
        <v>96</v>
      </c>
    </row>
    <row r="43" spans="1:15">
      <c r="A43" s="4"/>
      <c r="B43" s="4"/>
      <c r="C43" s="4"/>
      <c r="D43" s="4"/>
      <c r="F43" s="4"/>
      <c r="G43" s="4"/>
      <c r="H43" s="4"/>
      <c r="I43" s="4"/>
      <c r="J43" s="4"/>
      <c r="K43" s="8"/>
      <c r="L43" s="4"/>
      <c r="M43" s="4"/>
    </row>
    <row r="44" spans="1:15">
      <c r="I44" s="1" t="s">
        <v>2</v>
      </c>
    </row>
  </sheetData>
  <phoneticPr fontId="1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PC5</cp:lastModifiedBy>
  <dcterms:created xsi:type="dcterms:W3CDTF">2017-03-22T06:09:24Z</dcterms:created>
  <dcterms:modified xsi:type="dcterms:W3CDTF">2019-04-30T10:55:11Z</dcterms:modified>
</cp:coreProperties>
</file>