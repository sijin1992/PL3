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00" windowHeight="9765"/>
  </bookViews>
  <sheets>
    <sheet name="Sheet1" sheetId="1" r:id="rId1"/>
    <sheet name="Sheet2" sheetId="2" r:id="rId2"/>
    <sheet name="Sheet3" sheetId="3" r:id="rId3"/>
  </sheets>
  <calcPr calcId="144525"/>
</workbook>
</file>

<file path=xl/connections.xml><?xml version="1.0" encoding="utf-8"?>
<connections xmlns="http://schemas.openxmlformats.org/spreadsheetml/2006/main">
  <connection id="1" name="Param" type="4" background="1" refreshedVersion="2" saveData="1">
    <webPr parsePre="1" consecutive="1" xl2000="1" sourceData="1" xml="1" url="G:\xingzhan\新建文件夹\Param.xml" htmlFormat="all" htmlTables="1"/>
  </connection>
</connections>
</file>

<file path=xl/sharedStrings.xml><?xml version="1.0" encoding="utf-8"?>
<sst xmlns="http://schemas.openxmlformats.org/spreadsheetml/2006/main" count="784" uniqueCount="678">
  <si>
    <t>ID</t>
  </si>
  <si>
    <t>KEY</t>
  </si>
  <si>
    <t>PARAM</t>
  </si>
  <si>
    <t>DESCRIPTION</t>
  </si>
  <si>
    <t>hurt</t>
  </si>
  <si>
    <t>3</t>
  </si>
  <si>
    <t>伤害公式参数</t>
  </si>
  <si>
    <t>hit</t>
  </si>
  <si>
    <t>0.11</t>
  </si>
  <si>
    <t>命中率公式参数</t>
  </si>
  <si>
    <t>crit</t>
  </si>
  <si>
    <t>8</t>
  </si>
  <si>
    <t>暴击率公式参数</t>
  </si>
  <si>
    <t>crit_coefficient</t>
  </si>
  <si>
    <t>2</t>
  </si>
  <si>
    <t>暴击倍率</t>
  </si>
  <si>
    <t>equip_strength</t>
  </si>
  <si>
    <t>0.1</t>
  </si>
  <si>
    <t>装备每级属性强化公式</t>
  </si>
  <si>
    <t>ship_level</t>
  </si>
  <si>
    <t>飞船每级属性升级公式</t>
  </si>
  <si>
    <t>ship_break_1</t>
  </si>
  <si>
    <t xml:space="preserve">1.4 </t>
  </si>
  <si>
    <t>飞船突破1参数</t>
  </si>
  <si>
    <t>ship_break_2</t>
  </si>
  <si>
    <t xml:space="preserve">2.0 </t>
  </si>
  <si>
    <t>飞船突破2参数</t>
  </si>
  <si>
    <t xml:space="preserve"> </t>
  </si>
  <si>
    <t>ship_break_3</t>
  </si>
  <si>
    <t xml:space="preserve">2.7 </t>
  </si>
  <si>
    <t>飞船突破3参数</t>
  </si>
  <si>
    <t>ship_break_4</t>
  </si>
  <si>
    <t xml:space="preserve">3.4 </t>
  </si>
  <si>
    <t>飞船突破4参数</t>
  </si>
  <si>
    <t>ship_break_5</t>
  </si>
  <si>
    <t xml:space="preserve">4.1 </t>
  </si>
  <si>
    <t>飞船突破5参数</t>
  </si>
  <si>
    <t>ship_break_6</t>
  </si>
  <si>
    <t xml:space="preserve">4.9 </t>
  </si>
  <si>
    <t>飞船突破6参数</t>
  </si>
  <si>
    <t>ship_break_7</t>
  </si>
  <si>
    <t xml:space="preserve">5.6 </t>
  </si>
  <si>
    <t>飞船突破7参数</t>
  </si>
  <si>
    <t>ship_break_8</t>
  </si>
  <si>
    <t xml:space="preserve">6.4 </t>
  </si>
  <si>
    <t>飞船突破8参数</t>
  </si>
  <si>
    <t>ship_break_9</t>
  </si>
  <si>
    <t xml:space="preserve">7.2 </t>
  </si>
  <si>
    <t>飞船突破9参数</t>
  </si>
  <si>
    <t>ship_break_10</t>
  </si>
  <si>
    <t xml:space="preserve">8.0 </t>
  </si>
  <si>
    <t>飞船突破10参数</t>
  </si>
  <si>
    <t>ship_break_11</t>
  </si>
  <si>
    <t xml:space="preserve">8.8 </t>
  </si>
  <si>
    <t>飞船突破11参数</t>
  </si>
  <si>
    <t>ship_break_12</t>
  </si>
  <si>
    <t xml:space="preserve">9.5 </t>
  </si>
  <si>
    <t>飞船突破12参数</t>
  </si>
  <si>
    <t>ship_break_13</t>
  </si>
  <si>
    <t xml:space="preserve">10.3 </t>
  </si>
  <si>
    <t>飞船突破13参数(游戏没有)</t>
  </si>
  <si>
    <t>ship_break_14</t>
  </si>
  <si>
    <t xml:space="preserve">11.1 </t>
  </si>
  <si>
    <t>飞船突破14参数(游戏没有)</t>
  </si>
  <si>
    <t>ship_break_15</t>
  </si>
  <si>
    <t xml:space="preserve">11.9 </t>
  </si>
  <si>
    <t>飞船突破15参数(游戏没有)</t>
  </si>
  <si>
    <t>ship_break_16</t>
  </si>
  <si>
    <t xml:space="preserve">12.7 </t>
  </si>
  <si>
    <t>飞船突破16参数(游戏没有)</t>
  </si>
  <si>
    <t>fight_power_hp</t>
  </si>
  <si>
    <t xml:space="preserve">0.12 </t>
  </si>
  <si>
    <t>生命战斗力参数</t>
  </si>
  <si>
    <t>fight_power_attack</t>
  </si>
  <si>
    <t xml:space="preserve">1.10 </t>
  </si>
  <si>
    <t>攻击战斗力参数</t>
  </si>
  <si>
    <t>fight_power_energy_attack</t>
  </si>
  <si>
    <t xml:space="preserve">1.18 </t>
  </si>
  <si>
    <t>能量攻击战斗力参数</t>
  </si>
  <si>
    <t>fight_power_defence</t>
  </si>
  <si>
    <t xml:space="preserve">0.84 </t>
  </si>
  <si>
    <t>防御战斗力参数</t>
  </si>
  <si>
    <t>fight_power_speed</t>
  </si>
  <si>
    <t xml:space="preserve">0.04 </t>
  </si>
  <si>
    <t>速度战斗力参数</t>
  </si>
  <si>
    <t>fight_power_hit</t>
  </si>
  <si>
    <t xml:space="preserve">0.26 </t>
  </si>
  <si>
    <t>命中战斗力参数</t>
  </si>
  <si>
    <t>fight_power_dodge</t>
  </si>
  <si>
    <t xml:space="preserve">0.83 </t>
  </si>
  <si>
    <t>闪避战斗力参数</t>
  </si>
  <si>
    <t>fight_power_crit</t>
  </si>
  <si>
    <t xml:space="preserve">0.34 </t>
  </si>
  <si>
    <t>暴击战斗力参数</t>
  </si>
  <si>
    <t>fight_power_anticrit</t>
  </si>
  <si>
    <t xml:space="preserve">0.70 </t>
  </si>
  <si>
    <t>抗暴战斗力参数</t>
  </si>
  <si>
    <t>equip_strength_1</t>
  </si>
  <si>
    <t>1</t>
  </si>
  <si>
    <t>白装强化品质系数</t>
  </si>
  <si>
    <t>equip_strength_2</t>
  </si>
  <si>
    <t>1.5</t>
  </si>
  <si>
    <t>绿装强化品质系数</t>
  </si>
  <si>
    <t>equip_strength_3</t>
  </si>
  <si>
    <t>蓝装强化品质系数</t>
  </si>
  <si>
    <t>equip_strength_4</t>
  </si>
  <si>
    <t>2.5</t>
  </si>
  <si>
    <t>紫装强化品质系数</t>
  </si>
  <si>
    <t>equip_strength_5</t>
  </si>
  <si>
    <t>橙装强化品质系数</t>
  </si>
  <si>
    <t>nil</t>
  </si>
  <si>
    <t>金币维修评级系数C</t>
  </si>
  <si>
    <t>金币维修评级系数B</t>
  </si>
  <si>
    <t>金币维修评级系数A</t>
  </si>
  <si>
    <t>金币维修评级系数S</t>
  </si>
  <si>
    <t>金币维修评级系数SS</t>
  </si>
  <si>
    <t>金币维修进阶系数0</t>
  </si>
  <si>
    <t>金币维修进阶系数1</t>
  </si>
  <si>
    <t>金币维修进阶系数2</t>
  </si>
  <si>
    <t>金币维修进阶系数3</t>
  </si>
  <si>
    <t>金币维修进阶系数4</t>
  </si>
  <si>
    <t>金币维修进阶系数5</t>
  </si>
  <si>
    <t>3.5</t>
  </si>
  <si>
    <t>金币维修进阶系数6</t>
  </si>
  <si>
    <t>0</t>
  </si>
  <si>
    <t>能源矿维修评级系数C</t>
  </si>
  <si>
    <t>能源矿维修评级系数B</t>
  </si>
  <si>
    <t>能源矿维修评级系数A</t>
  </si>
  <si>
    <t>能源矿维修评级系数S</t>
  </si>
  <si>
    <t>能源矿维修评级系数SS</t>
  </si>
  <si>
    <t>能源矿维修进阶系数0</t>
  </si>
  <si>
    <t>能源矿维修进阶系数1</t>
  </si>
  <si>
    <t>能源矿维修进阶系数2</t>
  </si>
  <si>
    <t>能源矿维修进阶系数3</t>
  </si>
  <si>
    <t>能源矿维修进阶系数4</t>
  </si>
  <si>
    <t>能源矿维修进阶系数5</t>
  </si>
  <si>
    <t>能源矿维修进阶系数6</t>
  </si>
  <si>
    <t>0.06</t>
  </si>
  <si>
    <t>金币维修参数1</t>
  </si>
  <si>
    <t>5</t>
  </si>
  <si>
    <t>金币维修参数2</t>
  </si>
  <si>
    <t>金币维修参数3</t>
  </si>
  <si>
    <t>0.05</t>
  </si>
  <si>
    <t>能源矿维修参数1</t>
  </si>
  <si>
    <t>能源矿维修参数2</t>
  </si>
  <si>
    <t>能源矿维修参数3</t>
  </si>
  <si>
    <t>10</t>
  </si>
  <si>
    <t>基础耐久损失</t>
  </si>
  <si>
    <t>掠夺公式参数</t>
  </si>
  <si>
    <t>arena_update_param_1</t>
  </si>
  <si>
    <t>竞技场刷新参数1</t>
  </si>
  <si>
    <t>arena_update_param_2</t>
  </si>
  <si>
    <t>竞技场刷新参数2</t>
  </si>
  <si>
    <t>donate_cd_limit</t>
  </si>
  <si>
    <t>7200</t>
  </si>
  <si>
    <t>捐献CD上限秒数</t>
  </si>
  <si>
    <t>un_critical_rate</t>
  </si>
  <si>
    <t>80</t>
  </si>
  <si>
    <t>不暴击概率</t>
  </si>
  <si>
    <t>double_critical_rate</t>
  </si>
  <si>
    <t>15</t>
  </si>
  <si>
    <t>2倍暴击概率</t>
  </si>
  <si>
    <t>penta_critical_rate</t>
  </si>
  <si>
    <t>5倍暴击概率</t>
  </si>
  <si>
    <t>donate_cd</t>
  </si>
  <si>
    <t>360</t>
  </si>
  <si>
    <t>单次捐献CD</t>
  </si>
  <si>
    <t>start_ships_1</t>
  </si>
  <si>
    <t>111000,</t>
  </si>
  <si>
    <t>初始飞船ID</t>
  </si>
  <si>
    <t>start_ships_2</t>
  </si>
  <si>
    <t>121000,</t>
  </si>
  <si>
    <t>start_ships_3</t>
  </si>
  <si>
    <t>131000,</t>
  </si>
  <si>
    <t>start_ships_4</t>
  </si>
  <si>
    <t>141000,</t>
  </si>
  <si>
    <t>start_item_id</t>
  </si>
  <si>
    <t>13005,11001,</t>
  </si>
  <si>
    <t>初始道具ID</t>
  </si>
  <si>
    <t>start_item_num</t>
  </si>
  <si>
    <t>8,60,</t>
  </si>
  <si>
    <t>初始道具数量</t>
  </si>
  <si>
    <t>start_res</t>
  </si>
  <si>
    <t>100000,300000,300000,150000,</t>
  </si>
  <si>
    <t>初始资源数量</t>
  </si>
  <si>
    <t>start_credit</t>
  </si>
  <si>
    <t>150</t>
  </si>
  <si>
    <t>初始信用点数量</t>
  </si>
  <si>
    <t>kill_cd</t>
  </si>
  <si>
    <t>0.03</t>
  </si>
  <si>
    <t>秒CD消耗点券参数</t>
  </si>
  <si>
    <t>ship_cd</t>
  </si>
  <si>
    <t>0.15</t>
  </si>
  <si>
    <t>秒CD消耗点券参数,飞船</t>
  </si>
  <si>
    <t>city_1_open</t>
  </si>
  <si>
    <t>7,0</t>
  </si>
  <si>
    <t>家园开启条件(人物等级;指挥中心等级）</t>
  </si>
  <si>
    <t>city_8_open</t>
  </si>
  <si>
    <t>19,0</t>
  </si>
  <si>
    <t>飞船修理厂开启条件(人物等级;指挥中心等级）</t>
  </si>
  <si>
    <t>city_3_open</t>
  </si>
  <si>
    <t>2,0</t>
  </si>
  <si>
    <t>飞船开发厂开启条件(人物等级;指挥中心等级）</t>
  </si>
  <si>
    <t>city_6_open</t>
  </si>
  <si>
    <t>23,0</t>
  </si>
  <si>
    <t>武器研究所开启条件(人物等级;指挥中心等级）</t>
  </si>
  <si>
    <t>city_5_open</t>
  </si>
  <si>
    <t>24,0</t>
  </si>
  <si>
    <t>科技实验室开启条件(人物等级;指挥中心等级）</t>
  </si>
  <si>
    <t>city_2_open</t>
  </si>
  <si>
    <t>10,0</t>
  </si>
  <si>
    <t>星际港开启条件(人物等级;指挥中心等级）</t>
  </si>
  <si>
    <t>shop_open</t>
  </si>
  <si>
    <t>1,0</t>
  </si>
  <si>
    <t>商店开启条件(人物等级;指挥中心等级）</t>
  </si>
  <si>
    <t>trial_open</t>
  </si>
  <si>
    <t>29,0</t>
  </si>
  <si>
    <t>试炼开启条件(人物等级;指挥中心等级）</t>
  </si>
  <si>
    <t>planet_open</t>
  </si>
  <si>
    <t>21,0</t>
  </si>
  <si>
    <t>大地图开启条件（等级，指挥中心）</t>
  </si>
  <si>
    <t>arena_open</t>
  </si>
  <si>
    <t>27,0</t>
  </si>
  <si>
    <t>竞技场开启条件(人物等级;指挥中心等级）</t>
  </si>
  <si>
    <t>league_open</t>
  </si>
  <si>
    <t>25,0</t>
  </si>
  <si>
    <t>星盟开启条件(人物等级;指挥中心等级）</t>
  </si>
  <si>
    <t>friend_open</t>
  </si>
  <si>
    <t>12,0</t>
  </si>
  <si>
    <t>好友开启条件(人物等级;指挥中心等级）</t>
  </si>
  <si>
    <t>mail_open</t>
  </si>
  <si>
    <t>邮件开启条件(人物等级;指挥中心等级）</t>
  </si>
  <si>
    <t>smelter_open</t>
  </si>
  <si>
    <t>30,0</t>
  </si>
  <si>
    <t>宝石开启条件</t>
  </si>
  <si>
    <t>task_open</t>
  </si>
  <si>
    <t>14,0</t>
  </si>
  <si>
    <t>日常任务开启条件</t>
  </si>
  <si>
    <t>achievement_open</t>
  </si>
  <si>
    <t>28,0</t>
  </si>
  <si>
    <t>成就开启条件</t>
  </si>
  <si>
    <t>colony_open</t>
  </si>
  <si>
    <t>32,0</t>
  </si>
  <si>
    <t>殖民地开启条件</t>
  </si>
  <si>
    <t>star_hp_param_1</t>
  </si>
  <si>
    <t>0.4</t>
  </si>
  <si>
    <t>损血判星参数1</t>
  </si>
  <si>
    <t>star_hp_param_2</t>
  </si>
  <si>
    <t>0.8</t>
  </si>
  <si>
    <t>损血判星参数2</t>
  </si>
  <si>
    <t>star_round_param_1</t>
  </si>
  <si>
    <t>回合判星参数1</t>
  </si>
  <si>
    <t>star_round_param_2</t>
  </si>
  <si>
    <t>回合判星参数2</t>
  </si>
  <si>
    <t>buy_energy</t>
  </si>
  <si>
    <t>100</t>
  </si>
  <si>
    <t>购买体力参数</t>
  </si>
  <si>
    <t>levelup_1</t>
  </si>
  <si>
    <t>2,string1</t>
  </si>
  <si>
    <t>升级提示文本1</t>
  </si>
  <si>
    <t>levelup_2</t>
  </si>
  <si>
    <t>4,string2</t>
  </si>
  <si>
    <t>升级提示文本2</t>
  </si>
  <si>
    <t>levelup_3</t>
  </si>
  <si>
    <t>6,string3</t>
  </si>
  <si>
    <t>升级提示文本3</t>
  </si>
  <si>
    <t>levelup_4</t>
  </si>
  <si>
    <t>5,string4</t>
  </si>
  <si>
    <t>升级提示文本4</t>
  </si>
  <si>
    <t>levelup_5</t>
  </si>
  <si>
    <t>10,string5</t>
  </si>
  <si>
    <t>升级提示文本5</t>
  </si>
  <si>
    <t>levelup_6</t>
  </si>
  <si>
    <t>11,string6</t>
  </si>
  <si>
    <t>升级提示文本6</t>
  </si>
  <si>
    <t>levelup_7</t>
  </si>
  <si>
    <t>12,string7</t>
  </si>
  <si>
    <t>升级提示文本7</t>
  </si>
  <si>
    <t>levelup_8</t>
  </si>
  <si>
    <t>13,string8</t>
  </si>
  <si>
    <t>升级提示文本8</t>
  </si>
  <si>
    <t>levelup_9</t>
  </si>
  <si>
    <t>14,string9</t>
  </si>
  <si>
    <t>升级提示文本9</t>
  </si>
  <si>
    <t>levelup_10</t>
  </si>
  <si>
    <t>15,string10</t>
  </si>
  <si>
    <t>升级提示文本10</t>
  </si>
  <si>
    <t>levelup_11</t>
  </si>
  <si>
    <t>16,string11</t>
  </si>
  <si>
    <t>升级提示文本11</t>
  </si>
  <si>
    <t>levelup_12</t>
  </si>
  <si>
    <t>17,string12</t>
  </si>
  <si>
    <t>升级提示文本12</t>
  </si>
  <si>
    <t>levelup_13</t>
  </si>
  <si>
    <t>19,string13</t>
  </si>
  <si>
    <t>升级提示文本13</t>
  </si>
  <si>
    <t>levelup_14</t>
  </si>
  <si>
    <t>22,string14</t>
  </si>
  <si>
    <t>升级提示文本14</t>
  </si>
  <si>
    <t>levelup_15</t>
  </si>
  <si>
    <t>24,string15</t>
  </si>
  <si>
    <t>升级提升文本15</t>
  </si>
  <si>
    <t>ship_durable_min_percent</t>
  </si>
  <si>
    <t>飞船耐久度低于自身百分比不能出战</t>
  </si>
  <si>
    <t>ship_pve_durable_level</t>
  </si>
  <si>
    <t>17</t>
  </si>
  <si>
    <t>PVE等级下耐久不扣</t>
  </si>
  <si>
    <t>sub_durable_1_1</t>
  </si>
  <si>
    <t>PVE胜利耐久度损耗参数</t>
  </si>
  <si>
    <t>sub_durable_1_0</t>
  </si>
  <si>
    <t>PVE失败耐久度损耗参数</t>
  </si>
  <si>
    <t>sub_durable_2_1</t>
  </si>
  <si>
    <t>PVP胜利耐久度损耗参数</t>
  </si>
  <si>
    <t>sub_durable_2_0</t>
  </si>
  <si>
    <t>PVP失败耐久度损耗参数</t>
  </si>
  <si>
    <t>sub_durable_3_1</t>
  </si>
  <si>
    <t>星球占领胜利耐久度损耗参数</t>
  </si>
  <si>
    <t>sub_durable_3_0</t>
  </si>
  <si>
    <t>星球占领失败耐久度损耗参数</t>
  </si>
  <si>
    <t>fix_ship_gold</t>
  </si>
  <si>
    <t>金币耐久修复参数</t>
  </si>
  <si>
    <t>queue_buy_time</t>
  </si>
  <si>
    <t>48</t>
  </si>
  <si>
    <t>付费队列购买时间（小时）</t>
  </si>
  <si>
    <t>queue_buy_num</t>
  </si>
  <si>
    <t>250</t>
  </si>
  <si>
    <t>付费队列购买价格（信用点）</t>
  </si>
  <si>
    <t>attack_anger</t>
  </si>
  <si>
    <t>0.65</t>
  </si>
  <si>
    <t>攻击怒气恢复参数</t>
  </si>
  <si>
    <t>defend_anger</t>
  </si>
  <si>
    <t>0.45</t>
  </si>
  <si>
    <t>被击怒气恢复参数</t>
  </si>
  <si>
    <t>strength_item_list</t>
  </si>
  <si>
    <t>16001,16002,16003,16004,</t>
  </si>
  <si>
    <t>体力药水ID列表</t>
  </si>
  <si>
    <t>add_trial_times_id</t>
  </si>
  <si>
    <t>15002,</t>
  </si>
  <si>
    <t>增加试炼次数的道具ID</t>
  </si>
  <si>
    <t>test_my_ship_list</t>
  </si>
  <si>
    <t>0,0,200002,200003,0,200001,200004,0,200005</t>
  </si>
  <si>
    <t>新手引导己方飞船列表</t>
  </si>
  <si>
    <t>test_enemy_ship_list</t>
  </si>
  <si>
    <t>200009,0,0,200007,0,200006,0,200008,0</t>
  </si>
  <si>
    <t>新手引导敌方飞船列表</t>
  </si>
  <si>
    <t>test_my_add_ship_id</t>
  </si>
  <si>
    <t>加入飞船的id</t>
  </si>
  <si>
    <t>test_my_add_ship_num</t>
  </si>
  <si>
    <t>加入飞船的位置</t>
  </si>
  <si>
    <t>planet_attack_res_strength</t>
  </si>
  <si>
    <t>星球占领掠夺消耗体力</t>
  </si>
  <si>
    <t>open_small_weapon</t>
  </si>
  <si>
    <t>20,25,30</t>
  </si>
  <si>
    <t>小技能位1,2,3开启需求飞船等级</t>
  </si>
  <si>
    <t>max_active</t>
  </si>
  <si>
    <t>活跃最大值</t>
  </si>
  <si>
    <t>pvp_win_glory_param</t>
  </si>
  <si>
    <t>20,10</t>
  </si>
  <si>
    <t>胜利荣耀参数1,胜利荣耀参数2</t>
  </si>
  <si>
    <t>pvp_fail_glory_param</t>
  </si>
  <si>
    <t>4,2</t>
  </si>
  <si>
    <t>失败荣耀参数1,失败荣耀参数2</t>
  </si>
  <si>
    <t>pvp_win_point_param</t>
  </si>
  <si>
    <t>10,5</t>
  </si>
  <si>
    <t>胜利积分参数1,胜利积分参数2</t>
  </si>
  <si>
    <t>pvp_fail_point_param</t>
  </si>
  <si>
    <t>2,1</t>
  </si>
  <si>
    <t>失败积分参数1,失败积分参数2</t>
  </si>
  <si>
    <t>free_fix_ship_time</t>
  </si>
  <si>
    <t>飞船免费修理时间</t>
  </si>
  <si>
    <t>slave_room_open</t>
  </si>
  <si>
    <t>30,33,35,40,45</t>
  </si>
  <si>
    <t>殖民奴隶位置开启条件（等级或家园等级）</t>
  </si>
  <si>
    <t>slave_get_exp</t>
  </si>
  <si>
    <t>0.6</t>
  </si>
  <si>
    <t>殖民抽取经验百分比参数</t>
  </si>
  <si>
    <t>slave_get_res_2</t>
  </si>
  <si>
    <t>0.3</t>
  </si>
  <si>
    <t>殖民抽取家园合金百分比参数</t>
  </si>
  <si>
    <t>slave_get_res_3</t>
  </si>
  <si>
    <t>殖民抽取家园晶体百分比参数</t>
  </si>
  <si>
    <t>slave_get_res_4</t>
  </si>
  <si>
    <t>殖民抽取家园能源百分比参数</t>
  </si>
  <si>
    <t>slave_fawn_on_cd</t>
  </si>
  <si>
    <t>讨好CD</t>
  </si>
  <si>
    <t>slave_work_cd</t>
  </si>
  <si>
    <t>工作CD</t>
  </si>
  <si>
    <t>slave_show_time</t>
  </si>
  <si>
    <t>示众持续时间</t>
  </si>
  <si>
    <t>slave_show_money</t>
  </si>
  <si>
    <t>示众消耗（信用点）</t>
  </si>
  <si>
    <t>slave_watch_num</t>
  </si>
  <si>
    <t>围观限制人数</t>
  </si>
  <si>
    <t>slave_revolt_cd</t>
  </si>
  <si>
    <t>独立CD</t>
  </si>
  <si>
    <t>slave_help_cd</t>
  </si>
  <si>
    <t>求救CD</t>
  </si>
  <si>
    <t>slave_free_time</t>
  </si>
  <si>
    <t>主动释放时间</t>
  </si>
  <si>
    <t>slave_save_num</t>
  </si>
  <si>
    <t>解救次数</t>
  </si>
  <si>
    <t>slave_enslave_num</t>
  </si>
  <si>
    <t>奴役次数</t>
  </si>
  <si>
    <t>enslave_coupon</t>
  </si>
  <si>
    <t>奴役消耗信用点参数</t>
  </si>
  <si>
    <t>save_coupon</t>
  </si>
  <si>
    <t>解救消耗信用点参数</t>
  </si>
  <si>
    <t>slave_get_res_cd</t>
  </si>
  <si>
    <t>收取CD</t>
  </si>
  <si>
    <t>name_digit</t>
  </si>
  <si>
    <t>12</t>
  </si>
  <si>
    <t>名字字数限制(中文需修改）</t>
  </si>
  <si>
    <t>alliance_digit</t>
  </si>
  <si>
    <t>星盟字数限制(中文需修改）</t>
  </si>
  <si>
    <t>green_hand_buff</t>
  </si>
  <si>
    <t>40000001,40000002,</t>
  </si>
  <si>
    <t>新手BUFFID</t>
  </si>
  <si>
    <t>green_hand_time</t>
  </si>
  <si>
    <t>新手BUFF时间</t>
  </si>
  <si>
    <t>planet_move_speed</t>
  </si>
  <si>
    <t>0.04,0.024,0.072</t>
  </si>
  <si>
    <t>星球移动速度 1：采集 2：攻击 3：侦查</t>
  </si>
  <si>
    <t>planet_destroy_value_limit</t>
  </si>
  <si>
    <t>摧毁值上限</t>
  </si>
  <si>
    <t>planet_destroy_stage</t>
  </si>
  <si>
    <t>50,100,25</t>
  </si>
  <si>
    <t>阶段1,2,3摧毁值参数</t>
  </si>
  <si>
    <t>planet_fix</t>
  </si>
  <si>
    <t>摧毁值恢复参数</t>
  </si>
  <si>
    <t>planet_destroy_param</t>
  </si>
  <si>
    <t>10,90</t>
  </si>
  <si>
    <t>摧毁度参数1,2</t>
  </si>
  <si>
    <t>planet_base_reset_time</t>
  </si>
  <si>
    <t>重置坐标时间参数(秒）</t>
  </si>
  <si>
    <t>planet_destroy_protect</t>
  </si>
  <si>
    <t>摧毁度保护参数值</t>
  </si>
  <si>
    <t>planet_rob_res</t>
  </si>
  <si>
    <t>80,80,80,80,</t>
  </si>
  <si>
    <t>抢夺资源百分比参数</t>
  </si>
  <si>
    <t>galaxy_1</t>
  </si>
  <si>
    <t>大地图攻击玩家基地消耗体力</t>
  </si>
  <si>
    <t>spaceport_fire</t>
  </si>
  <si>
    <t>空间站着火（摧毁度百分比）</t>
  </si>
  <si>
    <t>thumbnail</t>
  </si>
  <si>
    <t>缩略图显示信息描述百分比</t>
  </si>
  <si>
    <t>speed_item</t>
  </si>
  <si>
    <t>17011,17012,17013,17014,17015,</t>
  </si>
  <si>
    <t>加速道具</t>
  </si>
  <si>
    <t>mass_time</t>
  </si>
  <si>
    <t>5,10,30,60</t>
  </si>
  <si>
    <t>集结时间(分钟）</t>
  </si>
  <si>
    <t>resource_refresh</t>
  </si>
  <si>
    <t>资源刷新百分比</t>
  </si>
  <si>
    <t>resorce_recycle</t>
  </si>
  <si>
    <t>资源回收时间（小时）</t>
  </si>
  <si>
    <t>mass_activa</t>
  </si>
  <si>
    <t>集结激活（指挥中心等级）</t>
  </si>
  <si>
    <t>attack_base_strength</t>
  </si>
  <si>
    <t>攻击玩家空间站消耗体力</t>
  </si>
  <si>
    <t>guarde_strength</t>
  </si>
  <si>
    <t>驻扎行为消耗体力</t>
  </si>
  <si>
    <t>ratio</t>
  </si>
  <si>
    <t>缩放最大比例</t>
  </si>
  <si>
    <t>planet_move_base_item</t>
  </si>
  <si>
    <t>定点迁城道具</t>
  </si>
  <si>
    <t>planet_rand_move_base_item</t>
  </si>
  <si>
    <t>随机迁城道具</t>
  </si>
  <si>
    <t>planet_move_back_item</t>
  </si>
  <si>
    <t>召回队伍道具</t>
  </si>
  <si>
    <t>planet_shield_base_item</t>
  </si>
  <si>
    <t>18020,18021,18022,18023,18024,</t>
  </si>
  <si>
    <t>防护罩道具</t>
  </si>
  <si>
    <t>planet_shield_base_green_hand_item</t>
  </si>
  <si>
    <t>18022</t>
  </si>
  <si>
    <t>初始使用防护罩</t>
  </si>
  <si>
    <t>broadcast_port</t>
  </si>
  <si>
    <r>
      <rPr>
        <sz val="11"/>
        <color theme="1"/>
        <rFont val="宋体"/>
        <charset val="134"/>
        <scheme val="minor"/>
      </rPr>
      <t>获得品质</t>
    </r>
    <r>
      <rPr>
        <b/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的飞船图纸</t>
    </r>
  </si>
  <si>
    <t>broadcast_arena</t>
  </si>
  <si>
    <r>
      <rPr>
        <sz val="11"/>
        <color theme="1"/>
        <rFont val="宋体"/>
        <charset val="134"/>
      </rPr>
      <t>称号等级达到</t>
    </r>
    <r>
      <rPr>
        <b/>
        <sz val="11"/>
        <color theme="1"/>
        <rFont val="Tahoma"/>
        <charset val="134"/>
      </rPr>
      <t>N</t>
    </r>
    <r>
      <rPr>
        <sz val="11"/>
        <color theme="1"/>
        <rFont val="Tahoma"/>
        <charset val="134"/>
      </rPr>
      <t>*</t>
    </r>
    <r>
      <rPr>
        <sz val="11"/>
        <color theme="1"/>
        <rFont val="宋体"/>
        <charset val="134"/>
      </rPr>
      <t>（</t>
    </r>
    <r>
      <rPr>
        <sz val="11"/>
        <color theme="1"/>
        <rFont val="Tahoma"/>
        <charset val="134"/>
      </rPr>
      <t>1,2,3...</t>
    </r>
    <r>
      <rPr>
        <sz val="11"/>
        <color theme="1"/>
        <rFont val="宋体"/>
        <charset val="134"/>
      </rPr>
      <t>）</t>
    </r>
  </si>
  <si>
    <t>broadcast_get_ship</t>
  </si>
  <si>
    <t>115999,113003,113002,123002,123003,133002,133003,143002,143003,</t>
  </si>
  <si>
    <r>
      <rPr>
        <sz val="11"/>
        <color theme="1"/>
        <rFont val="宋体"/>
        <charset val="134"/>
      </rPr>
      <t>获得指定</t>
    </r>
    <r>
      <rPr>
        <sz val="11"/>
        <color theme="1"/>
        <rFont val="Tahoma"/>
        <charset val="134"/>
      </rPr>
      <t>ID</t>
    </r>
    <r>
      <rPr>
        <sz val="11"/>
        <color theme="1"/>
        <rFont val="宋体"/>
        <charset val="134"/>
      </rPr>
      <t>的飞船</t>
    </r>
  </si>
  <si>
    <t>broadcast_league_lv</t>
  </si>
  <si>
    <r>
      <rPr>
        <sz val="11"/>
        <color theme="1"/>
        <rFont val="宋体"/>
        <charset val="134"/>
        <scheme val="minor"/>
      </rPr>
      <t>星盟等级达到</t>
    </r>
    <r>
      <rPr>
        <b/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时</t>
    </r>
  </si>
  <si>
    <t>broadcast_breakthrough</t>
  </si>
  <si>
    <r>
      <rPr>
        <sz val="11"/>
        <color theme="1"/>
        <rFont val="宋体"/>
        <charset val="134"/>
      </rPr>
      <t>飞船突破等级大于</t>
    </r>
    <r>
      <rPr>
        <b/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时</t>
    </r>
  </si>
  <si>
    <t>broadcast_gem</t>
  </si>
  <si>
    <t>27</t>
  </si>
  <si>
    <r>
      <rPr>
        <sz val="11"/>
        <color theme="1"/>
        <rFont val="宋体"/>
        <charset val="134"/>
      </rPr>
      <t>合成宝石等级大于</t>
    </r>
    <r>
      <rPr>
        <b/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时</t>
    </r>
  </si>
  <si>
    <t>Energytank</t>
  </si>
  <si>
    <t>35,0</t>
  </si>
  <si>
    <t>能量槽开启等级(人物等级;指挥中心等级）</t>
  </si>
  <si>
    <t>升级提升文本16</t>
  </si>
  <si>
    <t>energy_res_param</t>
  </si>
  <si>
    <t>0,0.01,0.01,0.025,</t>
  </si>
  <si>
    <t>能量槽资源兑换参数</t>
  </si>
  <si>
    <t>energy_res_min</t>
  </si>
  <si>
    <t>0,100,100,40,</t>
  </si>
  <si>
    <t>能量槽资源最小兑换量</t>
  </si>
  <si>
    <t>energy_loss_param_1_1</t>
  </si>
  <si>
    <t>0.0001</t>
  </si>
  <si>
    <t>能量槽PVE胜利损耗</t>
  </si>
  <si>
    <t>energy_loss_param_1_0</t>
  </si>
  <si>
    <t>0.005</t>
  </si>
  <si>
    <t>能量槽PVE失败损耗</t>
  </si>
  <si>
    <t>energy_loss_param_2_1</t>
  </si>
  <si>
    <t>0.0005</t>
  </si>
  <si>
    <t>能量槽PVP胜利损耗</t>
  </si>
  <si>
    <t>energy_loss_param_2_0</t>
  </si>
  <si>
    <t>能量槽PVP失败损耗</t>
  </si>
  <si>
    <t>energy_loss_max_1_1</t>
  </si>
  <si>
    <t>能量槽PVE胜利损耗最大值</t>
  </si>
  <si>
    <t>energy_loss_max_1_0</t>
  </si>
  <si>
    <t>能量槽PVE失败损耗最大值</t>
  </si>
  <si>
    <t>energy_loss_max_2_1</t>
  </si>
  <si>
    <t>能量槽PVP胜利损耗最大值</t>
  </si>
  <si>
    <t>energy_loss_max_2_0</t>
  </si>
  <si>
    <t>10000000</t>
  </si>
  <si>
    <t>能量槽PVP失败损耗最大值</t>
  </si>
  <si>
    <t>energy_attr_param</t>
  </si>
  <si>
    <t>能量槽属性参数</t>
  </si>
  <si>
    <t>form_open</t>
  </si>
  <si>
    <t>预设队列开启条件</t>
  </si>
  <si>
    <t>city_10_open</t>
  </si>
  <si>
    <t>22,0</t>
  </si>
  <si>
    <t>仓库开启条件（等级，指挥中心）</t>
  </si>
  <si>
    <t>city_11_open</t>
  </si>
  <si>
    <t>侦查塔开启条件（等级，指挥中心）</t>
  </si>
  <si>
    <t>trade money</t>
  </si>
  <si>
    <t>贸易中心激活需要金额(充值钻石，不算赠送)</t>
  </si>
  <si>
    <t>升级提升文本</t>
  </si>
  <si>
    <t>nlc_open</t>
  </si>
  <si>
    <t>能量槽开启条件（等级，指挥中心）</t>
  </si>
  <si>
    <t>city_16_open</t>
  </si>
  <si>
    <t>26,0</t>
  </si>
  <si>
    <t>锻造中心开启条件</t>
  </si>
  <si>
    <t>city_13_open</t>
  </si>
  <si>
    <t>33,0</t>
  </si>
  <si>
    <t>外交局开启条件</t>
  </si>
  <si>
    <t>city_14_open</t>
  </si>
  <si>
    <t>3,0</t>
  </si>
  <si>
    <t>战争工坊开启条件</t>
  </si>
  <si>
    <t>bq_open</t>
  </si>
  <si>
    <t>18,0</t>
  </si>
  <si>
    <t>变强开启条件（等级，指挥中心）</t>
  </si>
  <si>
    <t>gem_open</t>
  </si>
  <si>
    <t>氪金开启条件（等级，指挥中心）</t>
  </si>
  <si>
    <t>task_planet_level_interval_colloct</t>
  </si>
  <si>
    <t>10,20,30,40,50,60,70,80,90,100,</t>
  </si>
  <si>
    <t>任务中用到星球占领的等级区间</t>
  </si>
  <si>
    <t>task_planet_level_interval_ruins</t>
  </si>
  <si>
    <t>task_planet_level_interval_fishing</t>
  </si>
  <si>
    <t>task_planet_level_interval_boss</t>
  </si>
  <si>
    <t>1,2,3,4,5</t>
  </si>
  <si>
    <t>strong icon</t>
  </si>
  <si>
    <t>diwen_2,diwen_2,diwen_2,diwen_2,</t>
  </si>
  <si>
    <t>变强页签中展示图片</t>
  </si>
  <si>
    <t>loading_text</t>
  </si>
  <si>
    <t>loading_text_1,loading_text_2,loading_text_3,loading_text_4,loading_text_5,loading_text_6,loading_text_7,loading_text_8,loading_text_9,loading_text_10,loading_text_11,loading_text_12,loading_text_13,loading_text_14,loading_text_15</t>
  </si>
  <si>
    <t>切换界面载入动画是随机提示的文字</t>
  </si>
  <si>
    <t>trial button</t>
  </si>
  <si>
    <t>1.5,1.2,1,1,1,</t>
  </si>
  <si>
    <t>试炼挑战按钮比例</t>
  </si>
  <si>
    <t>chat number</t>
  </si>
  <si>
    <t>25</t>
  </si>
  <si>
    <t>主界面显示聊天自主</t>
  </si>
  <si>
    <t>guidance id</t>
  </si>
  <si>
    <t>29,41,44,36,49,94,100,</t>
  </si>
  <si>
    <t>新手引导特殊ID</t>
  </si>
  <si>
    <t>guidance combat</t>
  </si>
  <si>
    <t>52</t>
  </si>
  <si>
    <t>新手引导战斗结束返回主城ID</t>
  </si>
  <si>
    <t>building lock</t>
  </si>
  <si>
    <t>4,5,7,8,10,11,13,14,16,</t>
  </si>
  <si>
    <t>加锁的建筑</t>
  </si>
  <si>
    <t>building activate</t>
  </si>
  <si>
    <t>加激活的建筑</t>
  </si>
  <si>
    <t>building_1 open</t>
  </si>
  <si>
    <t>指挥中心开启条件</t>
  </si>
  <si>
    <t>building_2 open</t>
  </si>
  <si>
    <t>舰队机库开启条件</t>
  </si>
  <si>
    <t>building_12 open</t>
  </si>
  <si>
    <t>城防炮台开启条件</t>
  </si>
  <si>
    <t>building_9 open</t>
  </si>
  <si>
    <t>副本开启条件</t>
  </si>
  <si>
    <t>building level</t>
  </si>
  <si>
    <t>1,3,4,5,7,10,11,12,13,14,16</t>
  </si>
  <si>
    <t>显示建筑升级特效</t>
  </si>
  <si>
    <t>building skip</t>
  </si>
  <si>
    <t>建筑队列空闲可跳转的建筑ID</t>
  </si>
  <si>
    <t>building noob</t>
  </si>
  <si>
    <t>1,3,9,10,11,12,14,</t>
  </si>
  <si>
    <t>新手引导显示激活的建筑</t>
  </si>
  <si>
    <t>chat open</t>
  </si>
  <si>
    <t>1,1,1,</t>
  </si>
  <si>
    <t>世界，私聊，星盟聊天开启等级</t>
  </si>
  <si>
    <t>task_number_limit</t>
  </si>
  <si>
    <t>日常任务显示数量限制</t>
  </si>
  <si>
    <t>clearance_round_param</t>
  </si>
  <si>
    <t>通关回合数评星参数</t>
  </si>
  <si>
    <t>current_hp_percent</t>
  </si>
  <si>
    <t>0.5</t>
  </si>
  <si>
    <t>存活血量百分比评星参数</t>
  </si>
  <si>
    <t>strong title</t>
  </si>
  <si>
    <t>fleet,resource,science,other</t>
  </si>
  <si>
    <t>强者指引图片</t>
  </si>
  <si>
    <t>share gift name</t>
  </si>
  <si>
    <t>星盟分享礼包名称</t>
  </si>
  <si>
    <t>share gift open</t>
  </si>
  <si>
    <t>1,1</t>
  </si>
  <si>
    <t>分享礼包开启条件(人物等级;指挥中心等级）</t>
  </si>
  <si>
    <t>yeguai_open</t>
  </si>
  <si>
    <t>16,1</t>
  </si>
  <si>
    <t>野怪引导开启(人物等级;指挥中心等级）</t>
  </si>
  <si>
    <t>level_difference_value</t>
  </si>
  <si>
    <t>等级差参数</t>
  </si>
  <si>
    <t>ratio_difference_value</t>
  </si>
  <si>
    <t>战力比参数</t>
  </si>
  <si>
    <t>creeps_max_level</t>
  </si>
  <si>
    <t>60</t>
  </si>
  <si>
    <t>野怪等级上限</t>
  </si>
  <si>
    <t>VIP_max_article</t>
  </si>
  <si>
    <t>9</t>
  </si>
  <si>
    <t>VIP最大显示条数</t>
  </si>
  <si>
    <t>throne_first_open</t>
  </si>
  <si>
    <t>1209600</t>
  </si>
  <si>
    <t>开服后王座第一次开启时间(开服14天后）</t>
  </si>
  <si>
    <t>throne_add_time</t>
  </si>
  <si>
    <t>28800</t>
  </si>
  <si>
    <t>王座加时争夺时间</t>
  </si>
  <si>
    <t>tower_attack_time</t>
  </si>
  <si>
    <t>电磁塔间隔攻击王座时间</t>
  </si>
  <si>
    <t>tower_attack_hp_rate</t>
  </si>
  <si>
    <t>0.025</t>
  </si>
  <si>
    <t>电磁塔攻击目标损失最大生命值百分比（计算结果最少为1）</t>
  </si>
  <si>
    <t>empty_node_picture</t>
  </si>
  <si>
    <t>yuzhoushitou1,yuzhoushitou2,yuzhoushitou1,yuzhoushitou2,yuzhoushitou1,yuzhoushitou2,yuzhoushitou1,yuzhoushitou2,yuzhoushitou1,yuzhoushitou2</t>
  </si>
  <si>
    <t>大地图空格填充图片</t>
  </si>
  <si>
    <t>turntable_add_num</t>
  </si>
  <si>
    <t>1,</t>
  </si>
  <si>
    <t>活动开启时，赠送次数</t>
  </si>
  <si>
    <t>auto_help_time</t>
  </si>
  <si>
    <t>600</t>
  </si>
  <si>
    <t>自动帮助时间</t>
  </si>
  <si>
    <t>level_10_open_fight</t>
  </si>
  <si>
    <t>主角等级到达10级开放自动战斗</t>
  </si>
  <si>
    <t>shield_break_building_level</t>
  </si>
  <si>
    <t>1,7</t>
  </si>
  <si>
    <t>防护罩开启的建筑条件（建筑ID,建筑等级）</t>
  </si>
  <si>
    <t>shield_maintenance_compensate</t>
  </si>
  <si>
    <t>维护后开防护罩玩家时间延长（秒）</t>
  </si>
  <si>
    <t>start_ships_Attr_1</t>
  </si>
  <si>
    <t>3,8,</t>
  </si>
  <si>
    <t>攻击飞船 物理攻击，暴击</t>
  </si>
  <si>
    <t>start_ships_Attr_2</t>
  </si>
  <si>
    <t>4,2,</t>
  </si>
  <si>
    <t>防御飞船 防御，血量</t>
  </si>
  <si>
    <t>start_ships_Attr_3</t>
  </si>
  <si>
    <t>5,6,</t>
  </si>
  <si>
    <t>控制飞船 命中，出手速度</t>
  </si>
  <si>
    <t>start_ships_Attr_4</t>
  </si>
  <si>
    <t>20,7,</t>
  </si>
  <si>
    <t>治疗飞船 能量攻击，闪避</t>
  </si>
  <si>
    <t>friends get_energy</t>
  </si>
  <si>
    <t>好友每次领取体力的数值</t>
  </si>
  <si>
    <t>friendship</t>
  </si>
  <si>
    <t>每次送体力之后的亲密度</t>
  </si>
  <si>
    <t>energy_add_exp_time</t>
  </si>
  <si>
    <t>能量槽经验兑换时间比例：时间(秒)=兑换经验*参数</t>
  </si>
  <si>
    <t>energy_lock_time</t>
  </si>
  <si>
    <t>10800</t>
  </si>
  <si>
    <t>能量槽兑换时间上限（秒）</t>
  </si>
  <si>
    <t>energy_cd</t>
  </si>
  <si>
    <t>0.04</t>
  </si>
  <si>
    <t>秒CD消耗点券参数,能量槽：消耗点券=int(1+等待时间(秒)*参数）</t>
  </si>
  <si>
    <t>planet_res_freshen</t>
  </si>
  <si>
    <t>1000,2100,2100,1000,</t>
  </si>
  <si>
    <t>残留资源固定值刷新（金币、合金、晶体、能源）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</si>
</sst>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color rgb="FF000000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theme="1"/>
      <name val="Tahoma"/>
      <charset val="134"/>
    </font>
    <font>
      <b/>
      <sz val="11"/>
      <color theme="1"/>
      <name val="宋体"/>
      <charset val="134"/>
      <scheme val="minor"/>
    </font>
    <font>
      <b/>
      <sz val="11"/>
      <color theme="1"/>
      <name val="Tahoma"/>
      <charset val="134"/>
    </font>
    <font>
      <b/>
      <sz val="11"/>
      <color theme="1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4" tint="0.599993896298105"/>
        <bgColor theme="4" tint="0.599993896298105"/>
      </patternFill>
    </fill>
    <fill>
      <patternFill patternType="solid">
        <fgColor rgb="FFDCE6F1"/>
        <bgColor rgb="FFDCE6F1"/>
      </patternFill>
    </fill>
    <fill>
      <patternFill patternType="solid">
        <fgColor rgb="FFB8CCE4"/>
        <bgColor rgb="FFB8CCE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8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0" fillId="25" borderId="12" applyNumberFormat="0" applyAlignment="0" applyProtection="0">
      <alignment vertical="center"/>
    </xf>
    <xf numFmtId="0" fontId="21" fillId="25" borderId="5" applyNumberFormat="0" applyAlignment="0" applyProtection="0">
      <alignment vertical="center"/>
    </xf>
    <xf numFmtId="0" fontId="13" fillId="21" borderId="7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22" fillId="0" borderId="0"/>
  </cellStyleXfs>
  <cellXfs count="2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>
      <alignment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49" fontId="0" fillId="0" borderId="0" xfId="0" applyNumberFormat="1" applyAlignment="1">
      <alignment horizontal="left" vertical="center" wrapText="1"/>
    </xf>
    <xf numFmtId="0" fontId="0" fillId="2" borderId="1" xfId="0" applyFont="1" applyFill="1" applyBorder="1" applyAlignment="1">
      <alignment horizontal="left" vertical="center"/>
    </xf>
    <xf numFmtId="49" fontId="0" fillId="2" borderId="2" xfId="0" applyNumberFormat="1" applyFont="1" applyFill="1" applyBorder="1" applyAlignment="1">
      <alignment horizontal="left" vertical="center"/>
    </xf>
    <xf numFmtId="0" fontId="0" fillId="2" borderId="3" xfId="0" applyFont="1" applyFill="1" applyBorder="1">
      <alignment vertical="center"/>
    </xf>
    <xf numFmtId="0" fontId="0" fillId="2" borderId="0" xfId="0" applyFont="1" applyFill="1" applyBorder="1" applyAlignment="1">
      <alignment horizontal="left" vertical="center" wrapText="1"/>
    </xf>
    <xf numFmtId="49" fontId="0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>
      <alignment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4" borderId="0" xfId="0" applyNumberFormat="1" applyFont="1" applyFill="1" applyBorder="1" applyAlignment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5">
    <dxf>
      <numFmt numFmtId="49" formatCode="@"/>
      <alignment horizontal="left" vertical="center"/>
    </dxf>
    <dxf>
      <numFmt numFmtId="49" formatCode="@"/>
      <alignment horizontal="left" vertical="center"/>
    </dxf>
    <dxf>
      <numFmt numFmtId="49" formatCode="@"/>
      <alignment horizontal="left" vertical="center"/>
    </dxf>
    <dxf>
      <numFmt numFmtId="49" formatCode="@"/>
      <alignment horizontal="left" vertic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all>
                  <xsd:element form="unqualified" minOccurs="0" name="ID" nillable="true" type="xsd:integer"/>
                  <xsd:element form="unqualified" minOccurs="0" name="KEY" nillable="true" type="xsd:string"/>
                  <xsd:element form="unqualified" minOccurs="0" name="PARAM" nillable="true" type="xsd:string"/>
                  <xsd:element form="unqualified" minOccurs="0" name="DESCRIPTION" nillable="true" type="xsd:string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ConnectionID="1" FileBinding="true" DataBindingLoadMode="1"/>
  </Map>
</MapInfo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xmlMaps" Target="xmlMaps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514350</xdr:colOff>
          <xdr:row>4</xdr:row>
          <xdr:rowOff>76200</xdr:rowOff>
        </xdr:to>
        <xdr:sp macro="[0]!export_xml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029825" y="342900"/>
              <a:ext cx="1200150" cy="4191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xml导出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D281" tableType="xml" totalsRowShown="0">
  <autoFilter ref="A1:D281"/>
  <tableColumns count="4">
    <tableColumn id="1" name="ID" uniqueName="ID" dataDxfId="0">
      <xmlColumnPr mapId="1" xpath="/Root/Row/ID" xmlDataType="double"/>
    </tableColumn>
    <tableColumn id="2" name="KEY" uniqueName="KEY" dataDxfId="1">
      <xmlColumnPr mapId="1" xpath="/Root/Row/KEY" xmlDataType="string"/>
    </tableColumn>
    <tableColumn id="3" name="PARAM" uniqueName="PARAM" dataDxfId="2">
      <xmlColumnPr mapId="1" xpath="/Root/Row/PARAM" xmlDataType="string"/>
    </tableColumn>
    <tableColumn id="4" name="DESCRIPTION" uniqueName="DESCRIPTION" dataDxfId="3">
      <xmlColumnPr mapId="1" xpath="/Root/Row/DESCRIPTION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81"/>
  <sheetViews>
    <sheetView tabSelected="1" zoomScale="115" zoomScaleNormal="115" topLeftCell="A166" workbookViewId="0">
      <selection activeCell="C182" sqref="C182"/>
    </sheetView>
  </sheetViews>
  <sheetFormatPr defaultColWidth="9" defaultRowHeight="13.5" outlineLevelCol="5"/>
  <cols>
    <col min="1" max="1" width="6" customWidth="1"/>
    <col min="2" max="2" width="33.75" customWidth="1"/>
    <col min="3" max="3" width="47.5" style="1" customWidth="1"/>
    <col min="4" max="4" width="44.375" customWidth="1"/>
  </cols>
  <sheetData>
    <row r="1" spans="1:4">
      <c r="A1" t="s">
        <v>0</v>
      </c>
      <c r="B1" t="s">
        <v>1</v>
      </c>
      <c r="C1" s="1" t="s">
        <v>2</v>
      </c>
      <c r="D1" t="s">
        <v>3</v>
      </c>
    </row>
    <row r="2" spans="1:4">
      <c r="A2">
        <v>1</v>
      </c>
      <c r="B2" s="2" t="s">
        <v>4</v>
      </c>
      <c r="C2" s="3" t="s">
        <v>5</v>
      </c>
      <c r="D2" s="2" t="s">
        <v>6</v>
      </c>
    </row>
    <row r="3" spans="1:4">
      <c r="A3">
        <v>2</v>
      </c>
      <c r="B3" s="2" t="s">
        <v>7</v>
      </c>
      <c r="C3" s="3" t="s">
        <v>8</v>
      </c>
      <c r="D3" s="2" t="s">
        <v>9</v>
      </c>
    </row>
    <row r="4" spans="1:4">
      <c r="A4">
        <v>3</v>
      </c>
      <c r="B4" s="2" t="s">
        <v>10</v>
      </c>
      <c r="C4" s="3" t="s">
        <v>11</v>
      </c>
      <c r="D4" s="2" t="s">
        <v>12</v>
      </c>
    </row>
    <row r="5" spans="1:4">
      <c r="A5">
        <v>4</v>
      </c>
      <c r="B5" s="2" t="s">
        <v>13</v>
      </c>
      <c r="C5" s="3" t="s">
        <v>14</v>
      </c>
      <c r="D5" s="2" t="s">
        <v>15</v>
      </c>
    </row>
    <row r="6" spans="1:4">
      <c r="A6">
        <v>5</v>
      </c>
      <c r="B6" s="2" t="s">
        <v>16</v>
      </c>
      <c r="C6" s="3" t="s">
        <v>17</v>
      </c>
      <c r="D6" s="2" t="s">
        <v>18</v>
      </c>
    </row>
    <row r="7" spans="1:4">
      <c r="A7">
        <v>6</v>
      </c>
      <c r="B7" s="2" t="s">
        <v>19</v>
      </c>
      <c r="C7" s="3" t="s">
        <v>17</v>
      </c>
      <c r="D7" s="2" t="s">
        <v>20</v>
      </c>
    </row>
    <row r="8" spans="1:4">
      <c r="A8">
        <v>7</v>
      </c>
      <c r="B8" s="2" t="s">
        <v>21</v>
      </c>
      <c r="C8" s="3" t="s">
        <v>22</v>
      </c>
      <c r="D8" s="2" t="s">
        <v>23</v>
      </c>
    </row>
    <row r="9" spans="1:6">
      <c r="A9">
        <v>8</v>
      </c>
      <c r="B9" s="2" t="s">
        <v>24</v>
      </c>
      <c r="C9" s="3" t="s">
        <v>25</v>
      </c>
      <c r="D9" s="2" t="s">
        <v>26</v>
      </c>
      <c r="F9" t="s">
        <v>27</v>
      </c>
    </row>
    <row r="10" spans="1:4">
      <c r="A10">
        <v>9</v>
      </c>
      <c r="B10" s="2" t="s">
        <v>28</v>
      </c>
      <c r="C10" s="3" t="s">
        <v>29</v>
      </c>
      <c r="D10" s="2" t="s">
        <v>30</v>
      </c>
    </row>
    <row r="11" spans="1:4">
      <c r="A11">
        <v>10</v>
      </c>
      <c r="B11" s="2" t="s">
        <v>31</v>
      </c>
      <c r="C11" s="3" t="s">
        <v>32</v>
      </c>
      <c r="D11" s="2" t="s">
        <v>33</v>
      </c>
    </row>
    <row r="12" spans="1:4">
      <c r="A12">
        <v>11</v>
      </c>
      <c r="B12" s="2" t="s">
        <v>34</v>
      </c>
      <c r="C12" s="3" t="s">
        <v>35</v>
      </c>
      <c r="D12" s="2" t="s">
        <v>36</v>
      </c>
    </row>
    <row r="13" spans="1:4">
      <c r="A13">
        <v>12</v>
      </c>
      <c r="B13" s="2" t="s">
        <v>37</v>
      </c>
      <c r="C13" s="3" t="s">
        <v>38</v>
      </c>
      <c r="D13" s="2" t="s">
        <v>39</v>
      </c>
    </row>
    <row r="14" spans="1:4">
      <c r="A14">
        <v>13</v>
      </c>
      <c r="B14" s="2" t="s">
        <v>40</v>
      </c>
      <c r="C14" s="3" t="s">
        <v>41</v>
      </c>
      <c r="D14" s="2" t="s">
        <v>42</v>
      </c>
    </row>
    <row r="15" spans="1:4">
      <c r="A15">
        <v>14</v>
      </c>
      <c r="B15" s="2" t="s">
        <v>43</v>
      </c>
      <c r="C15" s="3" t="s">
        <v>44</v>
      </c>
      <c r="D15" s="2" t="s">
        <v>45</v>
      </c>
    </row>
    <row r="16" spans="1:4">
      <c r="A16">
        <v>15</v>
      </c>
      <c r="B16" s="2" t="s">
        <v>46</v>
      </c>
      <c r="C16" s="3" t="s">
        <v>47</v>
      </c>
      <c r="D16" s="2" t="s">
        <v>48</v>
      </c>
    </row>
    <row r="17" spans="1:4">
      <c r="A17">
        <v>16</v>
      </c>
      <c r="B17" s="2" t="s">
        <v>49</v>
      </c>
      <c r="C17" s="3" t="s">
        <v>50</v>
      </c>
      <c r="D17" s="2" t="s">
        <v>51</v>
      </c>
    </row>
    <row r="18" spans="1:4">
      <c r="A18">
        <v>17</v>
      </c>
      <c r="B18" s="2" t="s">
        <v>52</v>
      </c>
      <c r="C18" s="3" t="s">
        <v>53</v>
      </c>
      <c r="D18" s="2" t="s">
        <v>54</v>
      </c>
    </row>
    <row r="19" spans="1:4">
      <c r="A19">
        <v>18</v>
      </c>
      <c r="B19" s="2" t="s">
        <v>55</v>
      </c>
      <c r="C19" s="3" t="s">
        <v>56</v>
      </c>
      <c r="D19" s="2" t="s">
        <v>57</v>
      </c>
    </row>
    <row r="20" spans="1:4">
      <c r="A20">
        <v>19</v>
      </c>
      <c r="B20" s="2" t="s">
        <v>58</v>
      </c>
      <c r="C20" s="3" t="s">
        <v>59</v>
      </c>
      <c r="D20" s="2" t="s">
        <v>60</v>
      </c>
    </row>
    <row r="21" spans="1:4">
      <c r="A21">
        <v>20</v>
      </c>
      <c r="B21" s="2" t="s">
        <v>61</v>
      </c>
      <c r="C21" s="3" t="s">
        <v>62</v>
      </c>
      <c r="D21" s="2" t="s">
        <v>63</v>
      </c>
    </row>
    <row r="22" spans="1:4">
      <c r="A22">
        <v>21</v>
      </c>
      <c r="B22" s="2" t="s">
        <v>64</v>
      </c>
      <c r="C22" s="3" t="s">
        <v>65</v>
      </c>
      <c r="D22" s="2" t="s">
        <v>66</v>
      </c>
    </row>
    <row r="23" spans="1:4">
      <c r="A23">
        <v>22</v>
      </c>
      <c r="B23" s="2" t="s">
        <v>67</v>
      </c>
      <c r="C23" s="3" t="s">
        <v>68</v>
      </c>
      <c r="D23" s="2" t="s">
        <v>69</v>
      </c>
    </row>
    <row r="24" spans="1:4">
      <c r="A24">
        <v>23</v>
      </c>
      <c r="B24" s="2" t="s">
        <v>70</v>
      </c>
      <c r="C24" s="3" t="s">
        <v>71</v>
      </c>
      <c r="D24" s="2" t="s">
        <v>72</v>
      </c>
    </row>
    <row r="25" spans="1:4">
      <c r="A25">
        <v>24</v>
      </c>
      <c r="B25" s="2" t="s">
        <v>73</v>
      </c>
      <c r="C25" s="3" t="s">
        <v>74</v>
      </c>
      <c r="D25" s="2" t="s">
        <v>75</v>
      </c>
    </row>
    <row r="26" spans="1:4">
      <c r="A26">
        <v>25</v>
      </c>
      <c r="B26" s="2" t="s">
        <v>76</v>
      </c>
      <c r="C26" s="3" t="s">
        <v>77</v>
      </c>
      <c r="D26" s="2" t="s">
        <v>78</v>
      </c>
    </row>
    <row r="27" spans="1:4">
      <c r="A27">
        <v>26</v>
      </c>
      <c r="B27" s="2" t="s">
        <v>79</v>
      </c>
      <c r="C27" s="3" t="s">
        <v>80</v>
      </c>
      <c r="D27" s="2" t="s">
        <v>81</v>
      </c>
    </row>
    <row r="28" spans="1:4">
      <c r="A28">
        <v>27</v>
      </c>
      <c r="B28" s="2" t="s">
        <v>82</v>
      </c>
      <c r="C28" s="3" t="s">
        <v>83</v>
      </c>
      <c r="D28" s="2" t="s">
        <v>84</v>
      </c>
    </row>
    <row r="29" spans="1:4">
      <c r="A29">
        <v>28</v>
      </c>
      <c r="B29" s="2" t="s">
        <v>85</v>
      </c>
      <c r="C29" s="3" t="s">
        <v>86</v>
      </c>
      <c r="D29" s="2" t="s">
        <v>87</v>
      </c>
    </row>
    <row r="30" spans="1:4">
      <c r="A30">
        <v>29</v>
      </c>
      <c r="B30" s="2" t="s">
        <v>88</v>
      </c>
      <c r="C30" s="3" t="s">
        <v>89</v>
      </c>
      <c r="D30" s="2" t="s">
        <v>90</v>
      </c>
    </row>
    <row r="31" spans="1:4">
      <c r="A31">
        <v>30</v>
      </c>
      <c r="B31" s="2" t="s">
        <v>91</v>
      </c>
      <c r="C31" s="3" t="s">
        <v>92</v>
      </c>
      <c r="D31" s="2" t="s">
        <v>93</v>
      </c>
    </row>
    <row r="32" spans="1:4">
      <c r="A32">
        <v>31</v>
      </c>
      <c r="B32" s="2" t="s">
        <v>94</v>
      </c>
      <c r="C32" s="3" t="s">
        <v>95</v>
      </c>
      <c r="D32" s="2" t="s">
        <v>96</v>
      </c>
    </row>
    <row r="33" spans="1:4">
      <c r="A33">
        <v>32</v>
      </c>
      <c r="B33" s="2" t="s">
        <v>97</v>
      </c>
      <c r="C33" s="3" t="s">
        <v>98</v>
      </c>
      <c r="D33" s="2" t="s">
        <v>99</v>
      </c>
    </row>
    <row r="34" spans="1:4">
      <c r="A34">
        <v>33</v>
      </c>
      <c r="B34" s="2" t="s">
        <v>100</v>
      </c>
      <c r="C34" s="3" t="s">
        <v>101</v>
      </c>
      <c r="D34" s="2" t="s">
        <v>102</v>
      </c>
    </row>
    <row r="35" spans="1:4">
      <c r="A35">
        <v>34</v>
      </c>
      <c r="B35" s="2" t="s">
        <v>103</v>
      </c>
      <c r="C35" s="3" t="s">
        <v>14</v>
      </c>
      <c r="D35" s="2" t="s">
        <v>104</v>
      </c>
    </row>
    <row r="36" spans="1:4">
      <c r="A36">
        <v>35</v>
      </c>
      <c r="B36" s="2" t="s">
        <v>105</v>
      </c>
      <c r="C36" s="3" t="s">
        <v>106</v>
      </c>
      <c r="D36" s="2" t="s">
        <v>107</v>
      </c>
    </row>
    <row r="37" spans="1:4">
      <c r="A37">
        <v>36</v>
      </c>
      <c r="B37" s="2" t="s">
        <v>108</v>
      </c>
      <c r="C37" s="3" t="s">
        <v>5</v>
      </c>
      <c r="D37" s="2" t="s">
        <v>109</v>
      </c>
    </row>
    <row r="38" spans="1:4">
      <c r="A38">
        <v>37</v>
      </c>
      <c r="B38" s="2" t="s">
        <v>110</v>
      </c>
      <c r="C38" s="3" t="s">
        <v>98</v>
      </c>
      <c r="D38" s="2" t="s">
        <v>111</v>
      </c>
    </row>
    <row r="39" spans="1:4">
      <c r="A39">
        <v>38</v>
      </c>
      <c r="B39" s="2" t="s">
        <v>110</v>
      </c>
      <c r="C39" s="3" t="s">
        <v>101</v>
      </c>
      <c r="D39" s="2" t="s">
        <v>112</v>
      </c>
    </row>
    <row r="40" spans="1:4">
      <c r="A40">
        <v>39</v>
      </c>
      <c r="B40" s="2" t="s">
        <v>110</v>
      </c>
      <c r="C40" s="3" t="s">
        <v>14</v>
      </c>
      <c r="D40" s="2" t="s">
        <v>113</v>
      </c>
    </row>
    <row r="41" spans="1:4">
      <c r="A41">
        <v>40</v>
      </c>
      <c r="B41" s="2" t="s">
        <v>110</v>
      </c>
      <c r="C41" s="3" t="s">
        <v>106</v>
      </c>
      <c r="D41" s="2" t="s">
        <v>114</v>
      </c>
    </row>
    <row r="42" spans="1:4">
      <c r="A42">
        <v>41</v>
      </c>
      <c r="B42" s="2" t="s">
        <v>110</v>
      </c>
      <c r="C42" s="3" t="s">
        <v>5</v>
      </c>
      <c r="D42" s="2" t="s">
        <v>115</v>
      </c>
    </row>
    <row r="43" spans="1:4">
      <c r="A43">
        <v>42</v>
      </c>
      <c r="B43" s="2" t="s">
        <v>110</v>
      </c>
      <c r="C43" s="3" t="s">
        <v>98</v>
      </c>
      <c r="D43" s="2" t="s">
        <v>116</v>
      </c>
    </row>
    <row r="44" spans="1:4">
      <c r="A44">
        <v>43</v>
      </c>
      <c r="B44" s="2" t="s">
        <v>110</v>
      </c>
      <c r="C44" s="3" t="s">
        <v>98</v>
      </c>
      <c r="D44" s="2" t="s">
        <v>117</v>
      </c>
    </row>
    <row r="45" spans="1:4">
      <c r="A45">
        <v>44</v>
      </c>
      <c r="B45" s="2" t="s">
        <v>110</v>
      </c>
      <c r="C45" s="3" t="s">
        <v>101</v>
      </c>
      <c r="D45" s="2" t="s">
        <v>118</v>
      </c>
    </row>
    <row r="46" spans="1:4">
      <c r="A46">
        <v>45</v>
      </c>
      <c r="B46" s="2" t="s">
        <v>110</v>
      </c>
      <c r="C46" s="3" t="s">
        <v>14</v>
      </c>
      <c r="D46" s="2" t="s">
        <v>119</v>
      </c>
    </row>
    <row r="47" spans="1:4">
      <c r="A47">
        <v>46</v>
      </c>
      <c r="B47" s="2" t="s">
        <v>110</v>
      </c>
      <c r="C47" s="3" t="s">
        <v>106</v>
      </c>
      <c r="D47" s="2" t="s">
        <v>120</v>
      </c>
    </row>
    <row r="48" spans="1:4">
      <c r="A48">
        <v>47</v>
      </c>
      <c r="B48" s="2" t="s">
        <v>110</v>
      </c>
      <c r="C48" s="3" t="s">
        <v>5</v>
      </c>
      <c r="D48" s="2" t="s">
        <v>121</v>
      </c>
    </row>
    <row r="49" spans="1:4">
      <c r="A49">
        <v>48</v>
      </c>
      <c r="B49" s="2" t="s">
        <v>110</v>
      </c>
      <c r="C49" s="3" t="s">
        <v>122</v>
      </c>
      <c r="D49" s="2" t="s">
        <v>123</v>
      </c>
    </row>
    <row r="50" spans="1:4">
      <c r="A50">
        <v>49</v>
      </c>
      <c r="B50" s="2" t="s">
        <v>110</v>
      </c>
      <c r="C50" s="3" t="s">
        <v>124</v>
      </c>
      <c r="D50" s="2" t="s">
        <v>125</v>
      </c>
    </row>
    <row r="51" spans="1:4">
      <c r="A51">
        <v>50</v>
      </c>
      <c r="B51" s="2" t="s">
        <v>110</v>
      </c>
      <c r="C51" s="3" t="s">
        <v>124</v>
      </c>
      <c r="D51" s="2" t="s">
        <v>126</v>
      </c>
    </row>
    <row r="52" spans="1:4">
      <c r="A52">
        <v>51</v>
      </c>
      <c r="B52" s="2" t="s">
        <v>110</v>
      </c>
      <c r="C52" s="3" t="s">
        <v>124</v>
      </c>
      <c r="D52" s="2" t="s">
        <v>127</v>
      </c>
    </row>
    <row r="53" spans="1:4">
      <c r="A53">
        <v>52</v>
      </c>
      <c r="B53" s="2" t="s">
        <v>110</v>
      </c>
      <c r="C53" s="3" t="s">
        <v>98</v>
      </c>
      <c r="D53" s="2" t="s">
        <v>128</v>
      </c>
    </row>
    <row r="54" spans="1:4">
      <c r="A54">
        <v>53</v>
      </c>
      <c r="B54" s="2" t="s">
        <v>110</v>
      </c>
      <c r="C54" s="3" t="s">
        <v>101</v>
      </c>
      <c r="D54" s="2" t="s">
        <v>129</v>
      </c>
    </row>
    <row r="55" spans="1:4">
      <c r="A55">
        <v>54</v>
      </c>
      <c r="B55" s="2" t="s">
        <v>110</v>
      </c>
      <c r="C55" s="3" t="s">
        <v>124</v>
      </c>
      <c r="D55" s="2" t="s">
        <v>130</v>
      </c>
    </row>
    <row r="56" spans="1:4">
      <c r="A56">
        <v>55</v>
      </c>
      <c r="B56" s="2" t="s">
        <v>110</v>
      </c>
      <c r="C56" s="3" t="s">
        <v>98</v>
      </c>
      <c r="D56" s="2" t="s">
        <v>131</v>
      </c>
    </row>
    <row r="57" spans="1:4">
      <c r="A57">
        <v>56</v>
      </c>
      <c r="B57" s="2" t="s">
        <v>110</v>
      </c>
      <c r="C57" s="3" t="s">
        <v>101</v>
      </c>
      <c r="D57" s="2" t="s">
        <v>132</v>
      </c>
    </row>
    <row r="58" spans="1:4">
      <c r="A58">
        <v>57</v>
      </c>
      <c r="B58" s="2" t="s">
        <v>110</v>
      </c>
      <c r="C58" s="3" t="s">
        <v>14</v>
      </c>
      <c r="D58" s="2" t="s">
        <v>133</v>
      </c>
    </row>
    <row r="59" spans="1:4">
      <c r="A59">
        <v>58</v>
      </c>
      <c r="B59" s="2" t="s">
        <v>110</v>
      </c>
      <c r="C59" s="3" t="s">
        <v>106</v>
      </c>
      <c r="D59" s="2" t="s">
        <v>134</v>
      </c>
    </row>
    <row r="60" spans="1:4">
      <c r="A60">
        <v>59</v>
      </c>
      <c r="B60" s="2" t="s">
        <v>110</v>
      </c>
      <c r="C60" s="3" t="s">
        <v>5</v>
      </c>
      <c r="D60" s="2" t="s">
        <v>135</v>
      </c>
    </row>
    <row r="61" spans="1:4">
      <c r="A61">
        <v>60</v>
      </c>
      <c r="B61" s="2" t="s">
        <v>110</v>
      </c>
      <c r="C61" s="3" t="s">
        <v>122</v>
      </c>
      <c r="D61" s="2" t="s">
        <v>136</v>
      </c>
    </row>
    <row r="62" spans="1:4">
      <c r="A62">
        <v>61</v>
      </c>
      <c r="B62" s="2" t="s">
        <v>110</v>
      </c>
      <c r="C62" s="3" t="s">
        <v>137</v>
      </c>
      <c r="D62" s="2" t="s">
        <v>138</v>
      </c>
    </row>
    <row r="63" spans="1:4">
      <c r="A63">
        <v>62</v>
      </c>
      <c r="B63" s="2" t="s">
        <v>110</v>
      </c>
      <c r="C63" s="3" t="s">
        <v>139</v>
      </c>
      <c r="D63" s="2" t="s">
        <v>140</v>
      </c>
    </row>
    <row r="64" spans="1:4">
      <c r="A64">
        <v>63</v>
      </c>
      <c r="B64" s="2" t="s">
        <v>110</v>
      </c>
      <c r="C64" s="3" t="s">
        <v>14</v>
      </c>
      <c r="D64" s="2" t="s">
        <v>141</v>
      </c>
    </row>
    <row r="65" spans="1:4">
      <c r="A65">
        <v>64</v>
      </c>
      <c r="B65" s="2" t="s">
        <v>110</v>
      </c>
      <c r="C65" s="3" t="s">
        <v>142</v>
      </c>
      <c r="D65" s="2" t="s">
        <v>143</v>
      </c>
    </row>
    <row r="66" spans="1:4">
      <c r="A66">
        <v>65</v>
      </c>
      <c r="B66" s="2" t="s">
        <v>110</v>
      </c>
      <c r="C66" s="3" t="s">
        <v>139</v>
      </c>
      <c r="D66" s="2" t="s">
        <v>144</v>
      </c>
    </row>
    <row r="67" spans="1:4">
      <c r="A67">
        <v>66</v>
      </c>
      <c r="B67" s="2" t="s">
        <v>110</v>
      </c>
      <c r="C67" s="3" t="s">
        <v>14</v>
      </c>
      <c r="D67" s="2" t="s">
        <v>145</v>
      </c>
    </row>
    <row r="68" spans="1:4">
      <c r="A68">
        <v>67</v>
      </c>
      <c r="B68" s="2" t="s">
        <v>110</v>
      </c>
      <c r="C68" s="3" t="s">
        <v>146</v>
      </c>
      <c r="D68" s="2" t="s">
        <v>147</v>
      </c>
    </row>
    <row r="69" spans="1:4">
      <c r="A69">
        <v>68</v>
      </c>
      <c r="B69" s="2" t="s">
        <v>110</v>
      </c>
      <c r="C69" s="3" t="s">
        <v>5</v>
      </c>
      <c r="D69" s="2" t="s">
        <v>148</v>
      </c>
    </row>
    <row r="70" spans="1:4">
      <c r="A70">
        <v>69</v>
      </c>
      <c r="B70" s="2" t="s">
        <v>149</v>
      </c>
      <c r="C70" s="3" t="s">
        <v>146</v>
      </c>
      <c r="D70" s="2" t="s">
        <v>150</v>
      </c>
    </row>
    <row r="71" spans="1:4">
      <c r="A71">
        <v>70</v>
      </c>
      <c r="B71" s="2" t="s">
        <v>151</v>
      </c>
      <c r="C71" s="3" t="s">
        <v>146</v>
      </c>
      <c r="D71" s="2" t="s">
        <v>152</v>
      </c>
    </row>
    <row r="72" spans="1:4">
      <c r="A72">
        <v>71</v>
      </c>
      <c r="B72" s="2" t="s">
        <v>153</v>
      </c>
      <c r="C72" s="3" t="s">
        <v>154</v>
      </c>
      <c r="D72" s="2" t="s">
        <v>155</v>
      </c>
    </row>
    <row r="73" spans="1:4">
      <c r="A73">
        <v>72</v>
      </c>
      <c r="B73" s="2" t="s">
        <v>156</v>
      </c>
      <c r="C73" s="3" t="s">
        <v>157</v>
      </c>
      <c r="D73" s="2" t="s">
        <v>158</v>
      </c>
    </row>
    <row r="74" spans="1:4">
      <c r="A74">
        <v>73</v>
      </c>
      <c r="B74" s="2" t="s">
        <v>159</v>
      </c>
      <c r="C74" s="3" t="s">
        <v>160</v>
      </c>
      <c r="D74" s="2" t="s">
        <v>161</v>
      </c>
    </row>
    <row r="75" spans="1:4">
      <c r="A75">
        <v>74</v>
      </c>
      <c r="B75" s="2" t="s">
        <v>162</v>
      </c>
      <c r="C75" s="3" t="s">
        <v>139</v>
      </c>
      <c r="D75" s="2" t="s">
        <v>163</v>
      </c>
    </row>
    <row r="76" spans="1:4">
      <c r="A76">
        <v>75</v>
      </c>
      <c r="B76" s="2" t="s">
        <v>164</v>
      </c>
      <c r="C76" s="3" t="s">
        <v>165</v>
      </c>
      <c r="D76" s="2" t="s">
        <v>166</v>
      </c>
    </row>
    <row r="77" spans="1:4">
      <c r="A77">
        <v>76</v>
      </c>
      <c r="B77" s="2" t="s">
        <v>167</v>
      </c>
      <c r="C77" s="3" t="s">
        <v>168</v>
      </c>
      <c r="D77" s="2" t="s">
        <v>169</v>
      </c>
    </row>
    <row r="78" spans="1:4">
      <c r="A78">
        <v>77</v>
      </c>
      <c r="B78" s="2" t="s">
        <v>170</v>
      </c>
      <c r="C78" s="3" t="s">
        <v>171</v>
      </c>
      <c r="D78" s="2" t="s">
        <v>169</v>
      </c>
    </row>
    <row r="79" spans="1:4">
      <c r="A79">
        <v>78</v>
      </c>
      <c r="B79" s="2" t="s">
        <v>172</v>
      </c>
      <c r="C79" s="3" t="s">
        <v>173</v>
      </c>
      <c r="D79" s="2" t="s">
        <v>169</v>
      </c>
    </row>
    <row r="80" spans="1:4">
      <c r="A80">
        <v>79</v>
      </c>
      <c r="B80" s="2" t="s">
        <v>174</v>
      </c>
      <c r="C80" s="3" t="s">
        <v>175</v>
      </c>
      <c r="D80" s="2" t="s">
        <v>169</v>
      </c>
    </row>
    <row r="81" spans="1:4">
      <c r="A81">
        <v>80</v>
      </c>
      <c r="B81" s="2" t="s">
        <v>176</v>
      </c>
      <c r="C81" s="3" t="s">
        <v>177</v>
      </c>
      <c r="D81" s="2" t="s">
        <v>178</v>
      </c>
    </row>
    <row r="82" spans="1:4">
      <c r="A82">
        <v>81</v>
      </c>
      <c r="B82" s="2" t="s">
        <v>179</v>
      </c>
      <c r="C82" s="3" t="s">
        <v>180</v>
      </c>
      <c r="D82" s="2" t="s">
        <v>181</v>
      </c>
    </row>
    <row r="83" spans="1:4">
      <c r="A83">
        <v>82</v>
      </c>
      <c r="B83" s="2" t="s">
        <v>182</v>
      </c>
      <c r="C83" s="3" t="s">
        <v>183</v>
      </c>
      <c r="D83" s="2" t="s">
        <v>184</v>
      </c>
    </row>
    <row r="84" spans="1:4">
      <c r="A84">
        <v>83</v>
      </c>
      <c r="B84" s="2" t="s">
        <v>185</v>
      </c>
      <c r="C84" s="3" t="s">
        <v>186</v>
      </c>
      <c r="D84" s="2" t="s">
        <v>187</v>
      </c>
    </row>
    <row r="85" spans="1:4">
      <c r="A85">
        <v>84</v>
      </c>
      <c r="B85" s="2" t="s">
        <v>188</v>
      </c>
      <c r="C85" s="3" t="s">
        <v>189</v>
      </c>
      <c r="D85" s="2" t="s">
        <v>190</v>
      </c>
    </row>
    <row r="86" spans="1:4">
      <c r="A86">
        <v>85</v>
      </c>
      <c r="B86" s="2" t="s">
        <v>191</v>
      </c>
      <c r="C86" s="3" t="s">
        <v>192</v>
      </c>
      <c r="D86" s="2" t="s">
        <v>193</v>
      </c>
    </row>
    <row r="87" spans="1:4">
      <c r="A87">
        <v>86</v>
      </c>
      <c r="B87" s="2" t="s">
        <v>194</v>
      </c>
      <c r="C87" s="3" t="s">
        <v>195</v>
      </c>
      <c r="D87" s="2" t="s">
        <v>196</v>
      </c>
    </row>
    <row r="88" spans="1:4">
      <c r="A88">
        <v>87</v>
      </c>
      <c r="B88" s="2" t="s">
        <v>197</v>
      </c>
      <c r="C88" s="3" t="s">
        <v>198</v>
      </c>
      <c r="D88" s="2" t="s">
        <v>199</v>
      </c>
    </row>
    <row r="89" spans="1:4">
      <c r="A89">
        <v>88</v>
      </c>
      <c r="B89" s="2" t="s">
        <v>200</v>
      </c>
      <c r="C89" s="3" t="s">
        <v>201</v>
      </c>
      <c r="D89" s="2" t="s">
        <v>202</v>
      </c>
    </row>
    <row r="90" spans="1:4">
      <c r="A90">
        <v>89</v>
      </c>
      <c r="B90" s="2" t="s">
        <v>203</v>
      </c>
      <c r="C90" s="3" t="s">
        <v>204</v>
      </c>
      <c r="D90" s="2" t="s">
        <v>205</v>
      </c>
    </row>
    <row r="91" spans="1:4">
      <c r="A91">
        <v>90</v>
      </c>
      <c r="B91" s="2" t="s">
        <v>206</v>
      </c>
      <c r="C91" s="3" t="s">
        <v>207</v>
      </c>
      <c r="D91" s="2" t="s">
        <v>208</v>
      </c>
    </row>
    <row r="92" spans="1:4">
      <c r="A92">
        <v>91</v>
      </c>
      <c r="B92" s="2" t="s">
        <v>209</v>
      </c>
      <c r="C92" s="3" t="s">
        <v>210</v>
      </c>
      <c r="D92" s="2" t="s">
        <v>211</v>
      </c>
    </row>
    <row r="93" spans="1:4">
      <c r="A93">
        <v>92</v>
      </c>
      <c r="B93" s="2" t="s">
        <v>212</v>
      </c>
      <c r="C93" s="3" t="s">
        <v>213</v>
      </c>
      <c r="D93" s="2" t="s">
        <v>214</v>
      </c>
    </row>
    <row r="94" spans="1:4">
      <c r="A94">
        <v>93</v>
      </c>
      <c r="B94" s="2" t="s">
        <v>215</v>
      </c>
      <c r="C94" s="3" t="s">
        <v>216</v>
      </c>
      <c r="D94" s="2" t="s">
        <v>217</v>
      </c>
    </row>
    <row r="95" spans="1:4">
      <c r="A95">
        <v>94</v>
      </c>
      <c r="B95" s="2" t="s">
        <v>218</v>
      </c>
      <c r="C95" s="3" t="s">
        <v>219</v>
      </c>
      <c r="D95" s="2" t="s">
        <v>220</v>
      </c>
    </row>
    <row r="96" spans="1:4">
      <c r="A96">
        <v>95</v>
      </c>
      <c r="B96" s="2" t="s">
        <v>221</v>
      </c>
      <c r="C96" s="3" t="s">
        <v>222</v>
      </c>
      <c r="D96" s="2" t="s">
        <v>223</v>
      </c>
    </row>
    <row r="97" spans="1:4">
      <c r="A97">
        <v>96</v>
      </c>
      <c r="B97" s="2" t="s">
        <v>224</v>
      </c>
      <c r="C97" s="3" t="s">
        <v>225</v>
      </c>
      <c r="D97" s="2" t="s">
        <v>226</v>
      </c>
    </row>
    <row r="98" spans="1:4">
      <c r="A98">
        <v>97</v>
      </c>
      <c r="B98" s="2" t="s">
        <v>227</v>
      </c>
      <c r="C98" s="3" t="s">
        <v>228</v>
      </c>
      <c r="D98" s="2" t="s">
        <v>229</v>
      </c>
    </row>
    <row r="99" spans="1:4">
      <c r="A99">
        <v>98</v>
      </c>
      <c r="B99" s="2" t="s">
        <v>230</v>
      </c>
      <c r="C99" s="3" t="s">
        <v>213</v>
      </c>
      <c r="D99" s="2" t="s">
        <v>231</v>
      </c>
    </row>
    <row r="100" spans="1:4">
      <c r="A100">
        <v>99</v>
      </c>
      <c r="B100" s="2" t="s">
        <v>232</v>
      </c>
      <c r="C100" s="3" t="s">
        <v>233</v>
      </c>
      <c r="D100" s="2" t="s">
        <v>234</v>
      </c>
    </row>
    <row r="101" spans="1:4">
      <c r="A101">
        <v>100</v>
      </c>
      <c r="B101" s="2" t="s">
        <v>235</v>
      </c>
      <c r="C101" s="3" t="s">
        <v>236</v>
      </c>
      <c r="D101" s="2" t="s">
        <v>237</v>
      </c>
    </row>
    <row r="102" spans="1:4">
      <c r="A102">
        <v>101</v>
      </c>
      <c r="B102" s="2" t="s">
        <v>238</v>
      </c>
      <c r="C102" s="3" t="s">
        <v>239</v>
      </c>
      <c r="D102" s="2" t="s">
        <v>240</v>
      </c>
    </row>
    <row r="103" spans="1:4">
      <c r="A103">
        <v>102</v>
      </c>
      <c r="B103" s="2" t="s">
        <v>241</v>
      </c>
      <c r="C103" s="3" t="s">
        <v>242</v>
      </c>
      <c r="D103" s="2" t="s">
        <v>243</v>
      </c>
    </row>
    <row r="104" spans="1:4">
      <c r="A104">
        <v>103</v>
      </c>
      <c r="B104" s="2" t="s">
        <v>244</v>
      </c>
      <c r="C104" s="3" t="s">
        <v>245</v>
      </c>
      <c r="D104" s="2" t="s">
        <v>246</v>
      </c>
    </row>
    <row r="105" spans="1:4">
      <c r="A105">
        <v>104</v>
      </c>
      <c r="B105" s="2" t="s">
        <v>247</v>
      </c>
      <c r="C105" s="3" t="s">
        <v>248</v>
      </c>
      <c r="D105" s="2" t="s">
        <v>249</v>
      </c>
    </row>
    <row r="106" spans="1:4">
      <c r="A106">
        <v>105</v>
      </c>
      <c r="B106" s="2" t="s">
        <v>250</v>
      </c>
      <c r="C106" s="3" t="s">
        <v>11</v>
      </c>
      <c r="D106" s="2" t="s">
        <v>251</v>
      </c>
    </row>
    <row r="107" spans="1:4">
      <c r="A107">
        <v>106</v>
      </c>
      <c r="B107" s="2" t="s">
        <v>252</v>
      </c>
      <c r="C107" s="3" t="s">
        <v>160</v>
      </c>
      <c r="D107" s="2" t="s">
        <v>253</v>
      </c>
    </row>
    <row r="108" spans="1:4">
      <c r="A108">
        <v>107</v>
      </c>
      <c r="B108" s="2" t="s">
        <v>254</v>
      </c>
      <c r="C108" s="3" t="s">
        <v>255</v>
      </c>
      <c r="D108" s="2" t="s">
        <v>256</v>
      </c>
    </row>
    <row r="109" spans="1:4">
      <c r="A109">
        <v>108</v>
      </c>
      <c r="B109" s="2" t="s">
        <v>257</v>
      </c>
      <c r="C109" s="3" t="s">
        <v>258</v>
      </c>
      <c r="D109" s="2" t="s">
        <v>259</v>
      </c>
    </row>
    <row r="110" spans="1:4">
      <c r="A110">
        <v>109</v>
      </c>
      <c r="B110" s="2" t="s">
        <v>260</v>
      </c>
      <c r="C110" s="3" t="s">
        <v>261</v>
      </c>
      <c r="D110" s="2" t="s">
        <v>262</v>
      </c>
    </row>
    <row r="111" spans="1:4">
      <c r="A111">
        <v>110</v>
      </c>
      <c r="B111" s="2" t="s">
        <v>263</v>
      </c>
      <c r="C111" s="3" t="s">
        <v>264</v>
      </c>
      <c r="D111" s="2" t="s">
        <v>265</v>
      </c>
    </row>
    <row r="112" spans="1:4">
      <c r="A112">
        <v>111</v>
      </c>
      <c r="B112" s="2" t="s">
        <v>266</v>
      </c>
      <c r="C112" s="3" t="s">
        <v>267</v>
      </c>
      <c r="D112" s="2" t="s">
        <v>268</v>
      </c>
    </row>
    <row r="113" spans="1:4">
      <c r="A113">
        <v>112</v>
      </c>
      <c r="B113" s="2" t="s">
        <v>269</v>
      </c>
      <c r="C113" s="3" t="s">
        <v>270</v>
      </c>
      <c r="D113" s="2" t="s">
        <v>271</v>
      </c>
    </row>
    <row r="114" spans="1:4">
      <c r="A114">
        <v>113</v>
      </c>
      <c r="B114" s="2" t="s">
        <v>272</v>
      </c>
      <c r="C114" s="3" t="s">
        <v>273</v>
      </c>
      <c r="D114" s="2" t="s">
        <v>274</v>
      </c>
    </row>
    <row r="115" spans="1:4">
      <c r="A115">
        <v>114</v>
      </c>
      <c r="B115" s="2" t="s">
        <v>275</v>
      </c>
      <c r="C115" s="3" t="s">
        <v>276</v>
      </c>
      <c r="D115" s="2" t="s">
        <v>277</v>
      </c>
    </row>
    <row r="116" spans="1:4">
      <c r="A116">
        <v>115</v>
      </c>
      <c r="B116" s="2" t="s">
        <v>278</v>
      </c>
      <c r="C116" s="3" t="s">
        <v>279</v>
      </c>
      <c r="D116" s="2" t="s">
        <v>280</v>
      </c>
    </row>
    <row r="117" spans="1:4">
      <c r="A117">
        <v>116</v>
      </c>
      <c r="B117" s="2" t="s">
        <v>281</v>
      </c>
      <c r="C117" s="3" t="s">
        <v>282</v>
      </c>
      <c r="D117" s="2" t="s">
        <v>283</v>
      </c>
    </row>
    <row r="118" spans="1:4">
      <c r="A118">
        <v>117</v>
      </c>
      <c r="B118" s="2" t="s">
        <v>284</v>
      </c>
      <c r="C118" s="3" t="s">
        <v>285</v>
      </c>
      <c r="D118" s="2" t="s">
        <v>286</v>
      </c>
    </row>
    <row r="119" spans="1:4">
      <c r="A119">
        <v>118</v>
      </c>
      <c r="B119" s="2" t="s">
        <v>287</v>
      </c>
      <c r="C119" s="3" t="s">
        <v>288</v>
      </c>
      <c r="D119" s="2" t="s">
        <v>289</v>
      </c>
    </row>
    <row r="120" spans="1:4">
      <c r="A120">
        <v>119</v>
      </c>
      <c r="B120" s="2" t="s">
        <v>290</v>
      </c>
      <c r="C120" s="3" t="s">
        <v>291</v>
      </c>
      <c r="D120" s="2" t="s">
        <v>292</v>
      </c>
    </row>
    <row r="121" spans="1:4">
      <c r="A121">
        <v>120</v>
      </c>
      <c r="B121" s="2" t="s">
        <v>293</v>
      </c>
      <c r="C121" s="3" t="s">
        <v>294</v>
      </c>
      <c r="D121" s="2" t="s">
        <v>295</v>
      </c>
    </row>
    <row r="122" spans="1:4">
      <c r="A122">
        <v>121</v>
      </c>
      <c r="B122" s="2" t="s">
        <v>296</v>
      </c>
      <c r="C122" s="3" t="s">
        <v>297</v>
      </c>
      <c r="D122" s="2" t="s">
        <v>298</v>
      </c>
    </row>
    <row r="123" spans="1:4">
      <c r="A123">
        <v>122</v>
      </c>
      <c r="B123" s="2" t="s">
        <v>299</v>
      </c>
      <c r="C123" s="3" t="s">
        <v>300</v>
      </c>
      <c r="D123" s="2" t="s">
        <v>301</v>
      </c>
    </row>
    <row r="124" spans="1:4">
      <c r="A124">
        <v>123</v>
      </c>
      <c r="B124" s="2" t="s">
        <v>302</v>
      </c>
      <c r="C124" s="3" t="s">
        <v>98</v>
      </c>
      <c r="D124" s="2" t="s">
        <v>303</v>
      </c>
    </row>
    <row r="125" spans="1:4">
      <c r="A125">
        <v>124</v>
      </c>
      <c r="B125" s="2" t="s">
        <v>304</v>
      </c>
      <c r="C125" s="3" t="s">
        <v>305</v>
      </c>
      <c r="D125" s="2" t="s">
        <v>306</v>
      </c>
    </row>
    <row r="126" spans="1:4">
      <c r="A126">
        <v>125</v>
      </c>
      <c r="B126" s="2" t="s">
        <v>307</v>
      </c>
      <c r="C126" s="3">
        <v>11</v>
      </c>
      <c r="D126" s="2" t="s">
        <v>308</v>
      </c>
    </row>
    <row r="127" spans="1:4">
      <c r="A127">
        <v>126</v>
      </c>
      <c r="B127" s="2" t="s">
        <v>309</v>
      </c>
      <c r="C127" s="3">
        <v>32</v>
      </c>
      <c r="D127" s="2" t="s">
        <v>310</v>
      </c>
    </row>
    <row r="128" spans="1:4">
      <c r="A128">
        <v>127</v>
      </c>
      <c r="B128" s="2" t="s">
        <v>311</v>
      </c>
      <c r="C128" s="3">
        <v>11</v>
      </c>
      <c r="D128" s="2" t="s">
        <v>312</v>
      </c>
    </row>
    <row r="129" spans="1:4">
      <c r="A129">
        <v>128</v>
      </c>
      <c r="B129" s="2" t="s">
        <v>313</v>
      </c>
      <c r="C129" s="3">
        <v>32</v>
      </c>
      <c r="D129" s="2" t="s">
        <v>314</v>
      </c>
    </row>
    <row r="130" spans="1:4">
      <c r="A130">
        <v>129</v>
      </c>
      <c r="B130" s="2" t="s">
        <v>315</v>
      </c>
      <c r="C130" s="3">
        <v>11</v>
      </c>
      <c r="D130" s="2" t="s">
        <v>316</v>
      </c>
    </row>
    <row r="131" spans="1:4">
      <c r="A131">
        <v>130</v>
      </c>
      <c r="B131" s="2" t="s">
        <v>317</v>
      </c>
      <c r="C131" s="3">
        <v>32</v>
      </c>
      <c r="D131" s="2" t="s">
        <v>318</v>
      </c>
    </row>
    <row r="132" spans="1:4">
      <c r="A132">
        <v>131</v>
      </c>
      <c r="B132" s="2" t="s">
        <v>319</v>
      </c>
      <c r="C132" s="3" t="s">
        <v>14</v>
      </c>
      <c r="D132" s="2" t="s">
        <v>320</v>
      </c>
    </row>
    <row r="133" spans="1:4">
      <c r="A133">
        <v>132</v>
      </c>
      <c r="B133" s="2" t="s">
        <v>321</v>
      </c>
      <c r="C133" s="3" t="s">
        <v>322</v>
      </c>
      <c r="D133" s="2" t="s">
        <v>323</v>
      </c>
    </row>
    <row r="134" spans="1:4">
      <c r="A134">
        <v>133</v>
      </c>
      <c r="B134" s="2" t="s">
        <v>324</v>
      </c>
      <c r="C134" s="3" t="s">
        <v>325</v>
      </c>
      <c r="D134" s="2" t="s">
        <v>326</v>
      </c>
    </row>
    <row r="135" spans="1:4">
      <c r="A135">
        <v>134</v>
      </c>
      <c r="B135" s="2" t="s">
        <v>327</v>
      </c>
      <c r="C135" s="3" t="s">
        <v>328</v>
      </c>
      <c r="D135" s="2" t="s">
        <v>329</v>
      </c>
    </row>
    <row r="136" spans="1:4">
      <c r="A136">
        <v>135</v>
      </c>
      <c r="B136" s="2" t="s">
        <v>330</v>
      </c>
      <c r="C136" s="3" t="s">
        <v>331</v>
      </c>
      <c r="D136" s="2" t="s">
        <v>332</v>
      </c>
    </row>
    <row r="137" spans="1:4">
      <c r="A137">
        <v>136</v>
      </c>
      <c r="B137" s="2" t="s">
        <v>333</v>
      </c>
      <c r="C137" s="3" t="s">
        <v>334</v>
      </c>
      <c r="D137" s="2" t="s">
        <v>335</v>
      </c>
    </row>
    <row r="138" spans="1:4">
      <c r="A138">
        <v>137</v>
      </c>
      <c r="B138" s="2" t="s">
        <v>336</v>
      </c>
      <c r="C138" s="3" t="s">
        <v>337</v>
      </c>
      <c r="D138" s="2" t="s">
        <v>338</v>
      </c>
    </row>
    <row r="139" spans="1:4">
      <c r="A139">
        <v>138</v>
      </c>
      <c r="B139" s="4" t="s">
        <v>339</v>
      </c>
      <c r="C139" s="5" t="s">
        <v>340</v>
      </c>
      <c r="D139" s="4" t="s">
        <v>341</v>
      </c>
    </row>
    <row r="140" spans="1:4">
      <c r="A140">
        <v>139</v>
      </c>
      <c r="B140" t="s">
        <v>342</v>
      </c>
      <c r="C140" s="5" t="s">
        <v>343</v>
      </c>
      <c r="D140" s="4" t="s">
        <v>344</v>
      </c>
    </row>
    <row r="141" spans="1:4">
      <c r="A141">
        <v>140</v>
      </c>
      <c r="B141" t="s">
        <v>345</v>
      </c>
      <c r="C141" s="5">
        <v>200002</v>
      </c>
      <c r="D141" s="4" t="s">
        <v>346</v>
      </c>
    </row>
    <row r="142" spans="1:4">
      <c r="A142">
        <v>141</v>
      </c>
      <c r="B142" t="s">
        <v>347</v>
      </c>
      <c r="C142" s="5">
        <v>4</v>
      </c>
      <c r="D142" s="4" t="s">
        <v>348</v>
      </c>
    </row>
    <row r="143" spans="1:4">
      <c r="A143">
        <v>142</v>
      </c>
      <c r="B143" t="s">
        <v>349</v>
      </c>
      <c r="C143" s="5">
        <v>20</v>
      </c>
      <c r="D143" s="4" t="s">
        <v>350</v>
      </c>
    </row>
    <row r="144" spans="1:4">
      <c r="A144">
        <v>143</v>
      </c>
      <c r="B144" s="4" t="s">
        <v>351</v>
      </c>
      <c r="C144" s="5" t="s">
        <v>352</v>
      </c>
      <c r="D144" s="4" t="s">
        <v>353</v>
      </c>
    </row>
    <row r="145" spans="1:4">
      <c r="A145">
        <v>144</v>
      </c>
      <c r="B145" s="4" t="s">
        <v>354</v>
      </c>
      <c r="C145" s="5">
        <v>100</v>
      </c>
      <c r="D145" s="4" t="s">
        <v>355</v>
      </c>
    </row>
    <row r="146" spans="1:4">
      <c r="A146">
        <v>145</v>
      </c>
      <c r="B146" t="s">
        <v>356</v>
      </c>
      <c r="C146" s="3" t="s">
        <v>357</v>
      </c>
      <c r="D146" t="s">
        <v>358</v>
      </c>
    </row>
    <row r="147" spans="1:4">
      <c r="A147">
        <v>146</v>
      </c>
      <c r="B147" t="s">
        <v>359</v>
      </c>
      <c r="C147" s="3" t="s">
        <v>360</v>
      </c>
      <c r="D147" t="s">
        <v>361</v>
      </c>
    </row>
    <row r="148" spans="1:4">
      <c r="A148">
        <v>147</v>
      </c>
      <c r="B148" t="s">
        <v>362</v>
      </c>
      <c r="C148" s="3" t="s">
        <v>363</v>
      </c>
      <c r="D148" t="s">
        <v>364</v>
      </c>
    </row>
    <row r="149" spans="1:4">
      <c r="A149">
        <v>148</v>
      </c>
      <c r="B149" t="s">
        <v>365</v>
      </c>
      <c r="C149" s="3" t="s">
        <v>366</v>
      </c>
      <c r="D149" t="s">
        <v>367</v>
      </c>
    </row>
    <row r="150" spans="1:4">
      <c r="A150">
        <v>149</v>
      </c>
      <c r="B150" t="s">
        <v>368</v>
      </c>
      <c r="C150" s="3">
        <v>180</v>
      </c>
      <c r="D150" t="s">
        <v>369</v>
      </c>
    </row>
    <row r="151" spans="1:4">
      <c r="A151">
        <v>150</v>
      </c>
      <c r="B151" t="s">
        <v>370</v>
      </c>
      <c r="C151" s="3" t="s">
        <v>371</v>
      </c>
      <c r="D151" t="s">
        <v>372</v>
      </c>
    </row>
    <row r="152" spans="1:4">
      <c r="A152">
        <v>151</v>
      </c>
      <c r="B152" t="s">
        <v>373</v>
      </c>
      <c r="C152" s="3" t="s">
        <v>374</v>
      </c>
      <c r="D152" t="s">
        <v>375</v>
      </c>
    </row>
    <row r="153" spans="1:4">
      <c r="A153">
        <v>152</v>
      </c>
      <c r="B153" t="s">
        <v>376</v>
      </c>
      <c r="C153" s="3" t="s">
        <v>377</v>
      </c>
      <c r="D153" t="s">
        <v>378</v>
      </c>
    </row>
    <row r="154" spans="1:4">
      <c r="A154">
        <v>153</v>
      </c>
      <c r="B154" t="s">
        <v>379</v>
      </c>
      <c r="C154" s="3" t="s">
        <v>377</v>
      </c>
      <c r="D154" t="s">
        <v>380</v>
      </c>
    </row>
    <row r="155" spans="1:4">
      <c r="A155">
        <v>154</v>
      </c>
      <c r="B155" t="s">
        <v>381</v>
      </c>
      <c r="C155" s="3" t="s">
        <v>377</v>
      </c>
      <c r="D155" t="s">
        <v>382</v>
      </c>
    </row>
    <row r="156" spans="1:4">
      <c r="A156">
        <v>155</v>
      </c>
      <c r="B156" t="s">
        <v>383</v>
      </c>
      <c r="C156" s="3">
        <f>20*60</f>
        <v>1200</v>
      </c>
      <c r="D156" t="s">
        <v>384</v>
      </c>
    </row>
    <row r="157" spans="1:4">
      <c r="A157">
        <v>156</v>
      </c>
      <c r="B157" t="s">
        <v>385</v>
      </c>
      <c r="C157" s="3">
        <f>15*60</f>
        <v>900</v>
      </c>
      <c r="D157" t="s">
        <v>386</v>
      </c>
    </row>
    <row r="158" spans="1:4">
      <c r="A158">
        <v>157</v>
      </c>
      <c r="B158" t="s">
        <v>387</v>
      </c>
      <c r="C158" s="3">
        <f>16*60*60</f>
        <v>57600</v>
      </c>
      <c r="D158" t="s">
        <v>388</v>
      </c>
    </row>
    <row r="159" spans="1:4">
      <c r="A159">
        <v>158</v>
      </c>
      <c r="B159" t="s">
        <v>389</v>
      </c>
      <c r="C159" s="3">
        <v>200</v>
      </c>
      <c r="D159" t="s">
        <v>390</v>
      </c>
    </row>
    <row r="160" spans="1:4">
      <c r="A160">
        <v>159</v>
      </c>
      <c r="B160" t="s">
        <v>391</v>
      </c>
      <c r="C160" s="3">
        <v>50</v>
      </c>
      <c r="D160" t="s">
        <v>392</v>
      </c>
    </row>
    <row r="161" spans="1:4">
      <c r="A161">
        <v>160</v>
      </c>
      <c r="B161" t="s">
        <v>393</v>
      </c>
      <c r="C161" s="3">
        <f>3*60*60</f>
        <v>10800</v>
      </c>
      <c r="D161" t="s">
        <v>394</v>
      </c>
    </row>
    <row r="162" spans="1:4">
      <c r="A162">
        <v>161</v>
      </c>
      <c r="B162" t="s">
        <v>395</v>
      </c>
      <c r="C162" s="3">
        <f>60*60</f>
        <v>3600</v>
      </c>
      <c r="D162" t="s">
        <v>396</v>
      </c>
    </row>
    <row r="163" spans="1:4">
      <c r="A163">
        <v>162</v>
      </c>
      <c r="B163" t="s">
        <v>397</v>
      </c>
      <c r="C163" s="3">
        <f>3*24*60*60</f>
        <v>259200</v>
      </c>
      <c r="D163" t="s">
        <v>398</v>
      </c>
    </row>
    <row r="164" spans="1:4">
      <c r="A164">
        <v>163</v>
      </c>
      <c r="B164" t="s">
        <v>399</v>
      </c>
      <c r="C164" s="3">
        <v>5</v>
      </c>
      <c r="D164" t="s">
        <v>400</v>
      </c>
    </row>
    <row r="165" spans="1:4">
      <c r="A165">
        <v>164</v>
      </c>
      <c r="B165" t="s">
        <v>401</v>
      </c>
      <c r="C165" s="3">
        <v>10</v>
      </c>
      <c r="D165" t="s">
        <v>402</v>
      </c>
    </row>
    <row r="166" spans="1:4">
      <c r="A166">
        <v>165</v>
      </c>
      <c r="B166" t="s">
        <v>403</v>
      </c>
      <c r="C166" s="3">
        <v>15</v>
      </c>
      <c r="D166" t="s">
        <v>404</v>
      </c>
    </row>
    <row r="167" spans="1:4">
      <c r="A167">
        <v>166</v>
      </c>
      <c r="B167" t="s">
        <v>405</v>
      </c>
      <c r="C167" s="3">
        <v>20</v>
      </c>
      <c r="D167" t="s">
        <v>406</v>
      </c>
    </row>
    <row r="168" spans="1:4">
      <c r="A168">
        <v>167</v>
      </c>
      <c r="B168" t="s">
        <v>407</v>
      </c>
      <c r="C168" s="3">
        <f>30*60</f>
        <v>1800</v>
      </c>
      <c r="D168" t="s">
        <v>408</v>
      </c>
    </row>
    <row r="169" spans="1:4">
      <c r="A169">
        <v>168</v>
      </c>
      <c r="B169" t="s">
        <v>409</v>
      </c>
      <c r="C169" s="3" t="s">
        <v>410</v>
      </c>
      <c r="D169" t="s">
        <v>411</v>
      </c>
    </row>
    <row r="170" spans="1:4">
      <c r="A170">
        <v>169</v>
      </c>
      <c r="B170" t="s">
        <v>412</v>
      </c>
      <c r="C170" s="3" t="s">
        <v>146</v>
      </c>
      <c r="D170" t="s">
        <v>413</v>
      </c>
    </row>
    <row r="171" spans="1:4">
      <c r="A171">
        <v>170</v>
      </c>
      <c r="B171" t="s">
        <v>414</v>
      </c>
      <c r="C171" s="3" t="s">
        <v>415</v>
      </c>
      <c r="D171" t="s">
        <v>416</v>
      </c>
    </row>
    <row r="172" spans="1:4">
      <c r="A172">
        <v>171</v>
      </c>
      <c r="B172" t="s">
        <v>417</v>
      </c>
      <c r="C172" s="6">
        <f>24*60*60</f>
        <v>86400</v>
      </c>
      <c r="D172" t="s">
        <v>418</v>
      </c>
    </row>
    <row r="173" spans="1:4">
      <c r="A173">
        <v>172</v>
      </c>
      <c r="B173" t="s">
        <v>419</v>
      </c>
      <c r="C173" s="3" t="s">
        <v>420</v>
      </c>
      <c r="D173" t="s">
        <v>421</v>
      </c>
    </row>
    <row r="174" spans="1:4">
      <c r="A174">
        <v>173</v>
      </c>
      <c r="B174" t="s">
        <v>422</v>
      </c>
      <c r="C174" s="3">
        <v>1000</v>
      </c>
      <c r="D174" t="s">
        <v>423</v>
      </c>
    </row>
    <row r="175" spans="1:4">
      <c r="A175">
        <v>174</v>
      </c>
      <c r="B175" t="s">
        <v>424</v>
      </c>
      <c r="C175" s="3" t="s">
        <v>425</v>
      </c>
      <c r="D175" t="s">
        <v>426</v>
      </c>
    </row>
    <row r="176" spans="1:4">
      <c r="A176">
        <v>175</v>
      </c>
      <c r="B176" t="s">
        <v>427</v>
      </c>
      <c r="C176" s="3">
        <v>5</v>
      </c>
      <c r="D176" t="s">
        <v>428</v>
      </c>
    </row>
    <row r="177" spans="1:4">
      <c r="A177">
        <v>176</v>
      </c>
      <c r="B177" t="s">
        <v>429</v>
      </c>
      <c r="C177" s="3" t="s">
        <v>430</v>
      </c>
      <c r="D177" t="s">
        <v>431</v>
      </c>
    </row>
    <row r="178" spans="1:4">
      <c r="A178">
        <v>177</v>
      </c>
      <c r="B178" t="s">
        <v>432</v>
      </c>
      <c r="C178" s="3">
        <f>3*60*60</f>
        <v>10800</v>
      </c>
      <c r="D178" t="s">
        <v>433</v>
      </c>
    </row>
    <row r="179" spans="1:4">
      <c r="A179">
        <v>178</v>
      </c>
      <c r="B179" s="7" t="s">
        <v>434</v>
      </c>
      <c r="C179" s="3">
        <v>90</v>
      </c>
      <c r="D179" t="s">
        <v>435</v>
      </c>
    </row>
    <row r="180" spans="1:4">
      <c r="A180">
        <v>179</v>
      </c>
      <c r="B180" t="s">
        <v>436</v>
      </c>
      <c r="C180" s="3" t="s">
        <v>437</v>
      </c>
      <c r="D180" t="s">
        <v>438</v>
      </c>
    </row>
    <row r="181" spans="1:4">
      <c r="A181">
        <v>180</v>
      </c>
      <c r="B181" t="s">
        <v>439</v>
      </c>
      <c r="C181" s="3">
        <v>10</v>
      </c>
      <c r="D181" t="s">
        <v>440</v>
      </c>
    </row>
    <row r="182" spans="1:4">
      <c r="A182">
        <v>181</v>
      </c>
      <c r="B182" t="s">
        <v>441</v>
      </c>
      <c r="C182" s="3">
        <v>1</v>
      </c>
      <c r="D182" t="s">
        <v>442</v>
      </c>
    </row>
    <row r="183" spans="1:4">
      <c r="A183">
        <v>182</v>
      </c>
      <c r="B183" t="s">
        <v>443</v>
      </c>
      <c r="C183" s="3">
        <v>150</v>
      </c>
      <c r="D183" t="s">
        <v>444</v>
      </c>
    </row>
    <row r="184" spans="1:4">
      <c r="A184">
        <v>183</v>
      </c>
      <c r="B184" t="s">
        <v>445</v>
      </c>
      <c r="C184" s="3" t="s">
        <v>446</v>
      </c>
      <c r="D184" t="s">
        <v>447</v>
      </c>
    </row>
    <row r="185" spans="1:4">
      <c r="A185">
        <v>184</v>
      </c>
      <c r="B185" t="s">
        <v>448</v>
      </c>
      <c r="C185" s="3" t="s">
        <v>449</v>
      </c>
      <c r="D185" t="s">
        <v>450</v>
      </c>
    </row>
    <row r="186" spans="1:4">
      <c r="A186">
        <v>185</v>
      </c>
      <c r="B186" t="s">
        <v>451</v>
      </c>
      <c r="C186" s="3" t="s">
        <v>377</v>
      </c>
      <c r="D186" t="s">
        <v>452</v>
      </c>
    </row>
    <row r="187" spans="1:4">
      <c r="A187">
        <v>186</v>
      </c>
      <c r="B187" t="s">
        <v>453</v>
      </c>
      <c r="C187" s="3">
        <v>12</v>
      </c>
      <c r="D187" t="s">
        <v>454</v>
      </c>
    </row>
    <row r="188" spans="1:4">
      <c r="A188">
        <v>187</v>
      </c>
      <c r="B188" t="s">
        <v>455</v>
      </c>
      <c r="C188" s="3">
        <v>1</v>
      </c>
      <c r="D188" t="s">
        <v>456</v>
      </c>
    </row>
    <row r="189" spans="1:4">
      <c r="A189">
        <v>188</v>
      </c>
      <c r="B189" t="s">
        <v>457</v>
      </c>
      <c r="C189" s="3">
        <v>10</v>
      </c>
      <c r="D189" t="s">
        <v>458</v>
      </c>
    </row>
    <row r="190" spans="1:4">
      <c r="A190">
        <v>189</v>
      </c>
      <c r="B190" t="s">
        <v>459</v>
      </c>
      <c r="C190" s="3">
        <v>5</v>
      </c>
      <c r="D190" t="s">
        <v>460</v>
      </c>
    </row>
    <row r="191" spans="1:4">
      <c r="A191">
        <v>190</v>
      </c>
      <c r="B191" t="s">
        <v>461</v>
      </c>
      <c r="C191" s="3">
        <v>300</v>
      </c>
      <c r="D191" t="s">
        <v>462</v>
      </c>
    </row>
    <row r="192" spans="1:4">
      <c r="A192">
        <v>191</v>
      </c>
      <c r="B192" t="s">
        <v>463</v>
      </c>
      <c r="C192" s="3">
        <v>17001</v>
      </c>
      <c r="D192" t="s">
        <v>464</v>
      </c>
    </row>
    <row r="193" spans="1:4">
      <c r="A193">
        <v>192</v>
      </c>
      <c r="B193" t="s">
        <v>465</v>
      </c>
      <c r="C193" s="3">
        <v>17002</v>
      </c>
      <c r="D193" t="s">
        <v>466</v>
      </c>
    </row>
    <row r="194" spans="1:4">
      <c r="A194">
        <v>193</v>
      </c>
      <c r="B194" t="s">
        <v>467</v>
      </c>
      <c r="C194" s="3">
        <v>17003</v>
      </c>
      <c r="D194" t="s">
        <v>468</v>
      </c>
    </row>
    <row r="195" spans="1:4">
      <c r="A195">
        <v>194</v>
      </c>
      <c r="B195" t="s">
        <v>469</v>
      </c>
      <c r="C195" s="3" t="s">
        <v>470</v>
      </c>
      <c r="D195" t="s">
        <v>471</v>
      </c>
    </row>
    <row r="196" spans="1:4">
      <c r="A196">
        <v>195</v>
      </c>
      <c r="B196" t="s">
        <v>472</v>
      </c>
      <c r="C196" s="3" t="s">
        <v>473</v>
      </c>
      <c r="D196" t="s">
        <v>474</v>
      </c>
    </row>
    <row r="197" spans="1:4">
      <c r="A197">
        <v>196</v>
      </c>
      <c r="B197" t="s">
        <v>475</v>
      </c>
      <c r="C197" s="3">
        <v>5</v>
      </c>
      <c r="D197" t="s">
        <v>476</v>
      </c>
    </row>
    <row r="198" ht="14.25" spans="1:4">
      <c r="A198">
        <v>197</v>
      </c>
      <c r="B198" t="s">
        <v>477</v>
      </c>
      <c r="C198" s="3">
        <v>10</v>
      </c>
      <c r="D198" s="8" t="s">
        <v>478</v>
      </c>
    </row>
    <row r="199" ht="14.25" spans="1:4">
      <c r="A199">
        <v>198</v>
      </c>
      <c r="B199" t="s">
        <v>479</v>
      </c>
      <c r="C199" s="3" t="s">
        <v>480</v>
      </c>
      <c r="D199" t="s">
        <v>481</v>
      </c>
    </row>
    <row r="200" spans="1:4">
      <c r="A200">
        <v>199</v>
      </c>
      <c r="B200" t="s">
        <v>482</v>
      </c>
      <c r="C200" s="3">
        <v>4</v>
      </c>
      <c r="D200" t="s">
        <v>483</v>
      </c>
    </row>
    <row r="201" spans="1:4">
      <c r="A201">
        <v>200</v>
      </c>
      <c r="B201" t="s">
        <v>484</v>
      </c>
      <c r="C201" s="3" t="s">
        <v>11</v>
      </c>
      <c r="D201" s="8" t="s">
        <v>485</v>
      </c>
    </row>
    <row r="202" spans="1:4">
      <c r="A202">
        <v>201</v>
      </c>
      <c r="B202" t="s">
        <v>486</v>
      </c>
      <c r="C202" s="3" t="s">
        <v>487</v>
      </c>
      <c r="D202" s="8" t="s">
        <v>488</v>
      </c>
    </row>
    <row r="203" spans="1:4">
      <c r="A203">
        <v>202</v>
      </c>
      <c r="B203" t="s">
        <v>489</v>
      </c>
      <c r="C203" s="3" t="s">
        <v>490</v>
      </c>
      <c r="D203" t="s">
        <v>491</v>
      </c>
    </row>
    <row r="204" spans="1:4">
      <c r="A204">
        <v>203</v>
      </c>
      <c r="C204" s="3"/>
      <c r="D204" t="s">
        <v>492</v>
      </c>
    </row>
    <row r="205" spans="1:4">
      <c r="A205">
        <v>204</v>
      </c>
      <c r="B205" t="s">
        <v>493</v>
      </c>
      <c r="C205" s="3" t="s">
        <v>494</v>
      </c>
      <c r="D205" t="s">
        <v>495</v>
      </c>
    </row>
    <row r="206" spans="1:4">
      <c r="A206">
        <v>205</v>
      </c>
      <c r="B206" s="4" t="s">
        <v>496</v>
      </c>
      <c r="C206" s="5" t="s">
        <v>497</v>
      </c>
      <c r="D206" s="4" t="s">
        <v>498</v>
      </c>
    </row>
    <row r="207" spans="1:4">
      <c r="A207">
        <v>206</v>
      </c>
      <c r="B207" s="4" t="s">
        <v>499</v>
      </c>
      <c r="C207" s="5" t="s">
        <v>500</v>
      </c>
      <c r="D207" s="4" t="s">
        <v>501</v>
      </c>
    </row>
    <row r="208" spans="1:4">
      <c r="A208">
        <v>207</v>
      </c>
      <c r="B208" s="4" t="s">
        <v>502</v>
      </c>
      <c r="C208" s="5" t="s">
        <v>503</v>
      </c>
      <c r="D208" s="4" t="s">
        <v>504</v>
      </c>
    </row>
    <row r="209" spans="1:4">
      <c r="A209">
        <v>208</v>
      </c>
      <c r="B209" s="4" t="s">
        <v>505</v>
      </c>
      <c r="C209" s="5" t="s">
        <v>506</v>
      </c>
      <c r="D209" s="4" t="s">
        <v>507</v>
      </c>
    </row>
    <row r="210" spans="1:4">
      <c r="A210">
        <v>209</v>
      </c>
      <c r="B210" s="4" t="s">
        <v>508</v>
      </c>
      <c r="C210" s="5" t="s">
        <v>17</v>
      </c>
      <c r="D210" s="4" t="s">
        <v>509</v>
      </c>
    </row>
    <row r="211" spans="1:4">
      <c r="A211">
        <v>210</v>
      </c>
      <c r="B211" s="4" t="s">
        <v>510</v>
      </c>
      <c r="C211" s="3">
        <v>10000</v>
      </c>
      <c r="D211" s="4" t="s">
        <v>511</v>
      </c>
    </row>
    <row r="212" spans="1:4">
      <c r="A212">
        <v>211</v>
      </c>
      <c r="B212" s="4" t="s">
        <v>512</v>
      </c>
      <c r="C212" s="3">
        <v>100000</v>
      </c>
      <c r="D212" s="4" t="s">
        <v>513</v>
      </c>
    </row>
    <row r="213" spans="1:4">
      <c r="A213">
        <v>212</v>
      </c>
      <c r="B213" s="4" t="s">
        <v>514</v>
      </c>
      <c r="C213" s="3">
        <v>20000</v>
      </c>
      <c r="D213" s="4" t="s">
        <v>515</v>
      </c>
    </row>
    <row r="214" spans="1:4">
      <c r="A214">
        <v>213</v>
      </c>
      <c r="B214" s="4" t="s">
        <v>516</v>
      </c>
      <c r="C214" s="5" t="s">
        <v>517</v>
      </c>
      <c r="D214" s="4" t="s">
        <v>518</v>
      </c>
    </row>
    <row r="215" spans="1:4">
      <c r="A215">
        <v>214</v>
      </c>
      <c r="B215" s="4" t="s">
        <v>519</v>
      </c>
      <c r="C215" s="5" t="s">
        <v>245</v>
      </c>
      <c r="D215" s="9" t="s">
        <v>520</v>
      </c>
    </row>
    <row r="216" spans="1:4">
      <c r="A216">
        <v>215</v>
      </c>
      <c r="B216" s="1" t="s">
        <v>521</v>
      </c>
      <c r="C216" s="3" t="s">
        <v>204</v>
      </c>
      <c r="D216" t="s">
        <v>522</v>
      </c>
    </row>
    <row r="217" spans="1:4">
      <c r="A217">
        <v>216</v>
      </c>
      <c r="B217" t="s">
        <v>523</v>
      </c>
      <c r="C217" s="3" t="s">
        <v>524</v>
      </c>
      <c r="D217" t="s">
        <v>525</v>
      </c>
    </row>
    <row r="218" spans="1:4">
      <c r="A218">
        <v>217</v>
      </c>
      <c r="B218" t="s">
        <v>526</v>
      </c>
      <c r="C218" s="3" t="s">
        <v>222</v>
      </c>
      <c r="D218" t="s">
        <v>527</v>
      </c>
    </row>
    <row r="219" spans="1:4">
      <c r="A219">
        <v>218</v>
      </c>
      <c r="B219" t="s">
        <v>528</v>
      </c>
      <c r="C219" s="3">
        <v>1</v>
      </c>
      <c r="D219" t="s">
        <v>529</v>
      </c>
    </row>
    <row r="220" spans="1:4">
      <c r="A220">
        <v>219</v>
      </c>
      <c r="C220" s="3"/>
      <c r="D220" t="s">
        <v>530</v>
      </c>
    </row>
    <row r="221" spans="1:4">
      <c r="A221">
        <v>220</v>
      </c>
      <c r="B221" t="s">
        <v>531</v>
      </c>
      <c r="C221" s="3" t="s">
        <v>490</v>
      </c>
      <c r="D221" t="s">
        <v>532</v>
      </c>
    </row>
    <row r="222" spans="1:4">
      <c r="A222">
        <v>221</v>
      </c>
      <c r="C222" s="3"/>
      <c r="D222" t="s">
        <v>530</v>
      </c>
    </row>
    <row r="223" spans="1:4">
      <c r="A223">
        <v>222</v>
      </c>
      <c r="B223" t="s">
        <v>533</v>
      </c>
      <c r="C223" s="3" t="s">
        <v>534</v>
      </c>
      <c r="D223" t="s">
        <v>535</v>
      </c>
    </row>
    <row r="224" spans="1:4">
      <c r="A224">
        <v>223</v>
      </c>
      <c r="C224" s="3"/>
      <c r="D224" t="s">
        <v>530</v>
      </c>
    </row>
    <row r="225" spans="1:4">
      <c r="A225">
        <v>224</v>
      </c>
      <c r="B225" t="s">
        <v>536</v>
      </c>
      <c r="C225" s="3" t="s">
        <v>537</v>
      </c>
      <c r="D225" t="s">
        <v>538</v>
      </c>
    </row>
    <row r="226" spans="1:4">
      <c r="A226">
        <v>225</v>
      </c>
      <c r="C226" s="3"/>
      <c r="D226" t="s">
        <v>530</v>
      </c>
    </row>
    <row r="227" spans="1:4">
      <c r="A227">
        <v>226</v>
      </c>
      <c r="B227" t="s">
        <v>539</v>
      </c>
      <c r="C227" s="3" t="s">
        <v>540</v>
      </c>
      <c r="D227" t="s">
        <v>541</v>
      </c>
    </row>
    <row r="228" spans="1:4">
      <c r="A228">
        <v>227</v>
      </c>
      <c r="C228" s="3"/>
      <c r="D228" t="s">
        <v>530</v>
      </c>
    </row>
    <row r="229" spans="1:4">
      <c r="A229">
        <v>228</v>
      </c>
      <c r="B229" t="s">
        <v>542</v>
      </c>
      <c r="C229" s="3" t="s">
        <v>543</v>
      </c>
      <c r="D229" t="s">
        <v>544</v>
      </c>
    </row>
    <row r="230" spans="1:4">
      <c r="A230">
        <v>229</v>
      </c>
      <c r="B230" t="s">
        <v>545</v>
      </c>
      <c r="C230" s="3" t="s">
        <v>233</v>
      </c>
      <c r="D230" t="s">
        <v>546</v>
      </c>
    </row>
    <row r="231" spans="1:4">
      <c r="A231">
        <v>230</v>
      </c>
      <c r="B231" t="s">
        <v>547</v>
      </c>
      <c r="C231" s="3" t="s">
        <v>548</v>
      </c>
      <c r="D231" t="s">
        <v>549</v>
      </c>
    </row>
    <row r="232" spans="1:4">
      <c r="A232">
        <v>231</v>
      </c>
      <c r="B232" t="s">
        <v>550</v>
      </c>
      <c r="C232" s="3" t="s">
        <v>548</v>
      </c>
      <c r="D232" t="s">
        <v>549</v>
      </c>
    </row>
    <row r="233" spans="1:4">
      <c r="A233">
        <v>232</v>
      </c>
      <c r="B233" t="s">
        <v>551</v>
      </c>
      <c r="C233" s="3" t="s">
        <v>548</v>
      </c>
      <c r="D233" t="s">
        <v>549</v>
      </c>
    </row>
    <row r="234" spans="1:4">
      <c r="A234">
        <v>233</v>
      </c>
      <c r="B234" t="s">
        <v>552</v>
      </c>
      <c r="C234" s="3" t="s">
        <v>553</v>
      </c>
      <c r="D234" t="s">
        <v>549</v>
      </c>
    </row>
    <row r="235" spans="1:4">
      <c r="A235">
        <v>234</v>
      </c>
      <c r="B235" t="s">
        <v>554</v>
      </c>
      <c r="C235" s="3" t="s">
        <v>555</v>
      </c>
      <c r="D235" t="s">
        <v>556</v>
      </c>
    </row>
    <row r="236" ht="67.5" spans="1:4">
      <c r="A236">
        <v>235</v>
      </c>
      <c r="B236" t="s">
        <v>557</v>
      </c>
      <c r="C236" s="10" t="s">
        <v>558</v>
      </c>
      <c r="D236" t="s">
        <v>559</v>
      </c>
    </row>
    <row r="237" spans="1:4">
      <c r="A237">
        <v>236</v>
      </c>
      <c r="B237" t="s">
        <v>560</v>
      </c>
      <c r="C237" s="3" t="s">
        <v>561</v>
      </c>
      <c r="D237" t="s">
        <v>562</v>
      </c>
    </row>
    <row r="238" spans="1:4">
      <c r="A238">
        <v>237</v>
      </c>
      <c r="B238" t="s">
        <v>563</v>
      </c>
      <c r="C238" s="3" t="s">
        <v>564</v>
      </c>
      <c r="D238" t="s">
        <v>565</v>
      </c>
    </row>
    <row r="239" spans="1:4">
      <c r="A239">
        <v>238</v>
      </c>
      <c r="B239" t="s">
        <v>566</v>
      </c>
      <c r="C239" s="2" t="s">
        <v>567</v>
      </c>
      <c r="D239" t="s">
        <v>568</v>
      </c>
    </row>
    <row r="240" spans="1:4">
      <c r="A240">
        <v>239</v>
      </c>
      <c r="B240" t="s">
        <v>569</v>
      </c>
      <c r="C240" s="3" t="s">
        <v>570</v>
      </c>
      <c r="D240" t="s">
        <v>571</v>
      </c>
    </row>
    <row r="241" spans="1:4">
      <c r="A241">
        <v>240</v>
      </c>
      <c r="B241" t="s">
        <v>572</v>
      </c>
      <c r="C241" s="3" t="s">
        <v>573</v>
      </c>
      <c r="D241" t="s">
        <v>574</v>
      </c>
    </row>
    <row r="242" spans="1:4">
      <c r="A242">
        <v>241</v>
      </c>
      <c r="B242" t="s">
        <v>575</v>
      </c>
      <c r="C242" s="3" t="s">
        <v>573</v>
      </c>
      <c r="D242" t="s">
        <v>576</v>
      </c>
    </row>
    <row r="243" spans="1:4">
      <c r="A243">
        <v>242</v>
      </c>
      <c r="B243" t="s">
        <v>577</v>
      </c>
      <c r="C243" s="3" t="s">
        <v>213</v>
      </c>
      <c r="D243" t="s">
        <v>578</v>
      </c>
    </row>
    <row r="244" spans="1:4">
      <c r="A244">
        <v>243</v>
      </c>
      <c r="B244" t="s">
        <v>579</v>
      </c>
      <c r="C244" s="3" t="s">
        <v>213</v>
      </c>
      <c r="D244" t="s">
        <v>580</v>
      </c>
    </row>
    <row r="245" spans="1:4">
      <c r="A245">
        <v>244</v>
      </c>
      <c r="B245" t="s">
        <v>581</v>
      </c>
      <c r="C245" s="3" t="s">
        <v>213</v>
      </c>
      <c r="D245" t="s">
        <v>582</v>
      </c>
    </row>
    <row r="246" spans="1:4">
      <c r="A246">
        <v>245</v>
      </c>
      <c r="B246" t="s">
        <v>583</v>
      </c>
      <c r="C246" s="3" t="s">
        <v>201</v>
      </c>
      <c r="D246" t="s">
        <v>584</v>
      </c>
    </row>
    <row r="247" spans="1:4">
      <c r="A247">
        <v>246</v>
      </c>
      <c r="B247" t="s">
        <v>585</v>
      </c>
      <c r="C247" s="3" t="s">
        <v>586</v>
      </c>
      <c r="D247" t="s">
        <v>587</v>
      </c>
    </row>
    <row r="248" spans="1:4">
      <c r="A248">
        <v>247</v>
      </c>
      <c r="B248" t="s">
        <v>588</v>
      </c>
      <c r="C248" s="3" t="s">
        <v>586</v>
      </c>
      <c r="D248" t="s">
        <v>589</v>
      </c>
    </row>
    <row r="249" spans="1:4">
      <c r="A249">
        <v>248</v>
      </c>
      <c r="B249" t="s">
        <v>590</v>
      </c>
      <c r="C249" s="3" t="s">
        <v>591</v>
      </c>
      <c r="D249" t="s">
        <v>592</v>
      </c>
    </row>
    <row r="250" spans="1:4">
      <c r="A250">
        <v>249</v>
      </c>
      <c r="B250" t="s">
        <v>593</v>
      </c>
      <c r="C250" s="3" t="s">
        <v>594</v>
      </c>
      <c r="D250" t="s">
        <v>595</v>
      </c>
    </row>
    <row r="251" spans="1:4">
      <c r="A251">
        <v>250</v>
      </c>
      <c r="B251" t="s">
        <v>596</v>
      </c>
      <c r="C251" s="3">
        <v>10</v>
      </c>
      <c r="D251" t="s">
        <v>597</v>
      </c>
    </row>
    <row r="252" spans="1:4">
      <c r="A252">
        <v>251</v>
      </c>
      <c r="B252" s="2" t="s">
        <v>598</v>
      </c>
      <c r="C252" s="3" t="s">
        <v>11</v>
      </c>
      <c r="D252" s="2" t="s">
        <v>599</v>
      </c>
    </row>
    <row r="253" spans="1:4">
      <c r="A253">
        <v>252</v>
      </c>
      <c r="B253" t="s">
        <v>600</v>
      </c>
      <c r="C253" s="3" t="s">
        <v>601</v>
      </c>
      <c r="D253" t="s">
        <v>602</v>
      </c>
    </row>
    <row r="254" spans="1:4">
      <c r="A254">
        <v>253</v>
      </c>
      <c r="B254" s="2" t="s">
        <v>603</v>
      </c>
      <c r="C254" s="3" t="s">
        <v>604</v>
      </c>
      <c r="D254" s="2" t="s">
        <v>605</v>
      </c>
    </row>
    <row r="255" spans="1:4">
      <c r="A255">
        <v>254</v>
      </c>
      <c r="B255" s="2" t="s">
        <v>606</v>
      </c>
      <c r="C255" s="3" t="s">
        <v>606</v>
      </c>
      <c r="D255" s="2" t="s">
        <v>607</v>
      </c>
    </row>
    <row r="256" spans="1:4">
      <c r="A256">
        <v>255</v>
      </c>
      <c r="B256" s="2" t="s">
        <v>608</v>
      </c>
      <c r="C256" s="3" t="s">
        <v>609</v>
      </c>
      <c r="D256" s="2" t="s">
        <v>610</v>
      </c>
    </row>
    <row r="257" spans="1:4">
      <c r="A257">
        <v>256</v>
      </c>
      <c r="B257" t="s">
        <v>611</v>
      </c>
      <c r="C257" s="3" t="s">
        <v>612</v>
      </c>
      <c r="D257" s="2" t="s">
        <v>613</v>
      </c>
    </row>
    <row r="258" spans="1:4">
      <c r="A258">
        <v>257</v>
      </c>
      <c r="B258" t="s">
        <v>614</v>
      </c>
      <c r="C258" s="3">
        <v>20</v>
      </c>
      <c r="D258" s="2" t="s">
        <v>615</v>
      </c>
    </row>
    <row r="259" spans="1:4">
      <c r="A259">
        <v>258</v>
      </c>
      <c r="B259" t="s">
        <v>616</v>
      </c>
      <c r="C259" s="3" t="s">
        <v>601</v>
      </c>
      <c r="D259" s="2" t="s">
        <v>617</v>
      </c>
    </row>
    <row r="260" spans="1:4">
      <c r="A260">
        <v>259</v>
      </c>
      <c r="B260" t="s">
        <v>618</v>
      </c>
      <c r="C260" s="3" t="s">
        <v>619</v>
      </c>
      <c r="D260" s="2" t="s">
        <v>620</v>
      </c>
    </row>
    <row r="261" spans="1:4">
      <c r="A261">
        <v>260</v>
      </c>
      <c r="B261" t="s">
        <v>621</v>
      </c>
      <c r="C261" s="3" t="s">
        <v>622</v>
      </c>
      <c r="D261" s="2" t="s">
        <v>623</v>
      </c>
    </row>
    <row r="262" spans="1:4">
      <c r="A262">
        <v>261</v>
      </c>
      <c r="B262" t="s">
        <v>624</v>
      </c>
      <c r="C262" s="3" t="s">
        <v>625</v>
      </c>
      <c r="D262" s="2" t="s">
        <v>626</v>
      </c>
    </row>
    <row r="263" spans="1:4">
      <c r="A263">
        <v>262</v>
      </c>
      <c r="B263" t="s">
        <v>627</v>
      </c>
      <c r="C263" s="3" t="s">
        <v>628</v>
      </c>
      <c r="D263" t="s">
        <v>629</v>
      </c>
    </row>
    <row r="264" spans="1:4">
      <c r="A264">
        <v>263</v>
      </c>
      <c r="B264" t="s">
        <v>630</v>
      </c>
      <c r="C264" s="3" t="s">
        <v>165</v>
      </c>
      <c r="D264" t="s">
        <v>631</v>
      </c>
    </row>
    <row r="265" spans="1:4">
      <c r="A265">
        <v>264</v>
      </c>
      <c r="B265" s="11" t="s">
        <v>632</v>
      </c>
      <c r="C265" s="12" t="s">
        <v>633</v>
      </c>
      <c r="D265" s="13" t="s">
        <v>634</v>
      </c>
    </row>
    <row r="266" spans="1:4">
      <c r="A266">
        <v>265</v>
      </c>
      <c r="B266" s="14" t="s">
        <v>635</v>
      </c>
      <c r="C266" s="15" t="s">
        <v>636</v>
      </c>
      <c r="D266" s="16" t="s">
        <v>637</v>
      </c>
    </row>
    <row r="267" spans="1:4">
      <c r="A267">
        <v>266</v>
      </c>
      <c r="B267" s="14" t="s">
        <v>638</v>
      </c>
      <c r="C267" s="15" t="s">
        <v>639</v>
      </c>
      <c r="D267" s="16" t="s">
        <v>640</v>
      </c>
    </row>
    <row r="268" spans="1:4">
      <c r="A268">
        <v>267</v>
      </c>
      <c r="B268" s="14" t="s">
        <v>641</v>
      </c>
      <c r="C268" s="15" t="s">
        <v>642</v>
      </c>
      <c r="D268" s="16" t="s">
        <v>643</v>
      </c>
    </row>
    <row r="269" spans="1:4">
      <c r="A269">
        <v>268</v>
      </c>
      <c r="B269" s="14" t="s">
        <v>644</v>
      </c>
      <c r="C269" s="15" t="s">
        <v>146</v>
      </c>
      <c r="D269" s="16" t="s">
        <v>645</v>
      </c>
    </row>
    <row r="270" spans="1:4">
      <c r="A270">
        <v>269</v>
      </c>
      <c r="B270" s="14" t="s">
        <v>646</v>
      </c>
      <c r="C270" s="15" t="s">
        <v>647</v>
      </c>
      <c r="D270" t="s">
        <v>648</v>
      </c>
    </row>
    <row r="271" spans="1:4">
      <c r="A271">
        <v>270</v>
      </c>
      <c r="B271" s="14" t="s">
        <v>649</v>
      </c>
      <c r="C271" s="15" t="s">
        <v>154</v>
      </c>
      <c r="D271" s="16" t="s">
        <v>650</v>
      </c>
    </row>
    <row r="272" spans="1:4">
      <c r="A272">
        <v>271</v>
      </c>
      <c r="B272" s="14" t="s">
        <v>651</v>
      </c>
      <c r="C272" s="17" t="s">
        <v>652</v>
      </c>
      <c r="D272" s="16" t="s">
        <v>653</v>
      </c>
    </row>
    <row r="273" spans="1:4">
      <c r="A273">
        <v>272</v>
      </c>
      <c r="B273" s="14" t="s">
        <v>654</v>
      </c>
      <c r="C273" s="18" t="s">
        <v>655</v>
      </c>
      <c r="D273" s="16" t="s">
        <v>656</v>
      </c>
    </row>
    <row r="274" spans="1:4">
      <c r="A274">
        <v>273</v>
      </c>
      <c r="B274" s="14" t="s">
        <v>657</v>
      </c>
      <c r="C274" s="17" t="s">
        <v>658</v>
      </c>
      <c r="D274" s="16" t="s">
        <v>659</v>
      </c>
    </row>
    <row r="275" spans="1:4">
      <c r="A275">
        <v>274</v>
      </c>
      <c r="B275" s="14" t="s">
        <v>660</v>
      </c>
      <c r="C275" s="18" t="s">
        <v>661</v>
      </c>
      <c r="D275" s="16" t="s">
        <v>662</v>
      </c>
    </row>
    <row r="276" spans="1:4">
      <c r="A276">
        <v>275</v>
      </c>
      <c r="B276" s="14" t="s">
        <v>663</v>
      </c>
      <c r="C276" s="19" t="s">
        <v>139</v>
      </c>
      <c r="D276" s="16" t="s">
        <v>664</v>
      </c>
    </row>
    <row r="277" spans="1:4">
      <c r="A277">
        <v>276</v>
      </c>
      <c r="B277" s="14" t="s">
        <v>665</v>
      </c>
      <c r="C277" s="19" t="s">
        <v>14</v>
      </c>
      <c r="D277" s="16" t="s">
        <v>666</v>
      </c>
    </row>
    <row r="278" spans="1:4">
      <c r="A278">
        <v>277</v>
      </c>
      <c r="B278" t="s">
        <v>667</v>
      </c>
      <c r="C278" s="3" t="s">
        <v>245</v>
      </c>
      <c r="D278" t="s">
        <v>668</v>
      </c>
    </row>
    <row r="279" spans="1:4">
      <c r="A279">
        <v>278</v>
      </c>
      <c r="B279" t="s">
        <v>669</v>
      </c>
      <c r="C279" s="5" t="s">
        <v>670</v>
      </c>
      <c r="D279" s="4" t="s">
        <v>671</v>
      </c>
    </row>
    <row r="280" spans="1:4">
      <c r="A280">
        <v>279</v>
      </c>
      <c r="B280" t="s">
        <v>672</v>
      </c>
      <c r="C280" s="3" t="s">
        <v>673</v>
      </c>
      <c r="D280" s="2" t="s">
        <v>674</v>
      </c>
    </row>
    <row r="281" spans="1:4">
      <c r="A281">
        <v>280</v>
      </c>
      <c r="B281" t="s">
        <v>675</v>
      </c>
      <c r="C281" s="3" t="s">
        <v>676</v>
      </c>
      <c r="D281" t="s">
        <v>677</v>
      </c>
    </row>
  </sheetData>
  <conditionalFormatting sqref="B252">
    <cfRule type="duplicateValues" dxfId="4" priority="15"/>
    <cfRule type="duplicateValues" dxfId="4" priority="16"/>
  </conditionalFormatting>
  <conditionalFormatting sqref="B262">
    <cfRule type="duplicateValues" dxfId="4" priority="13"/>
  </conditionalFormatting>
  <conditionalFormatting sqref="B280">
    <cfRule type="duplicateValues" dxfId="4" priority="1"/>
  </conditionalFormatting>
  <conditionalFormatting sqref="A$1:A$1048576">
    <cfRule type="duplicateValues" dxfId="4" priority="6"/>
  </conditionalFormatting>
  <conditionalFormatting sqref="A278:A281">
    <cfRule type="duplicateValues" dxfId="4" priority="2"/>
  </conditionalFormatting>
  <conditionalFormatting sqref="B2:B150">
    <cfRule type="duplicateValues" dxfId="4" priority="26"/>
  </conditionalFormatting>
  <conditionalFormatting sqref="B151:B167">
    <cfRule type="duplicateValues" dxfId="4" priority="20"/>
  </conditionalFormatting>
  <conditionalFormatting sqref="B254:B256">
    <cfRule type="duplicateValues" dxfId="4" priority="17"/>
  </conditionalFormatting>
  <conditionalFormatting sqref="B254:B255">
    <cfRule type="duplicateValues" dxfId="4" priority="18"/>
  </conditionalFormatting>
  <conditionalFormatting sqref="B278:B279">
    <cfRule type="duplicateValues" dxfId="4" priority="3"/>
  </conditionalFormatting>
  <conditionalFormatting sqref="B281:B1048576 B263:B264 B218:B222 B224:B251 B253 B257:B261 B1:B215">
    <cfRule type="duplicateValues" dxfId="4" priority="19"/>
  </conditionalFormatting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lizhenghai</cp:lastModifiedBy>
  <dcterms:created xsi:type="dcterms:W3CDTF">2017-03-22T06:05:00Z</dcterms:created>
  <dcterms:modified xsi:type="dcterms:W3CDTF">2019-05-11T02:46:27Z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</Properties>
</file>