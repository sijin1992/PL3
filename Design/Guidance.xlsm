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345" yWindow="3825" windowWidth="14805" windowHeight="6480"/>
  </bookViews>
  <sheets>
    <sheet name="Sheet1" sheetId="1" r:id="rId1"/>
    <sheet name="Sheet2" sheetId="2" r:id="rId2"/>
    <sheet name="Sheet3" sheetId="3" r:id="rId3"/>
  </sheets>
  <functionGroups/>
  <definedNames>
    <definedName name="_xlnm._FilterDatabase" localSheetId="0" hidden="1">Sheet1!#REF!</definedName>
  </definedNames>
  <calcPr calcId="124519"/>
</workbook>
</file>

<file path=xl/calcChain.xml><?xml version="1.0" encoding="utf-8"?>
<calcChain xmlns="http://schemas.openxmlformats.org/spreadsheetml/2006/main">
  <c r="T126" i="1"/>
  <c r="T166" l="1"/>
  <c r="T5" l="1"/>
  <c r="T8"/>
  <c r="T13"/>
  <c r="T22"/>
  <c r="T20" s="1"/>
  <c r="T25"/>
  <c r="T32"/>
  <c r="T31" s="1"/>
  <c r="T39"/>
  <c r="T38" s="1"/>
  <c r="T47"/>
  <c r="T53"/>
  <c r="T51" s="1"/>
  <c r="T61"/>
  <c r="T60" s="1"/>
  <c r="T66"/>
  <c r="T65" s="1"/>
  <c r="T68"/>
  <c r="AD54"/>
  <c r="AD155"/>
  <c r="AD97"/>
  <c r="AD80"/>
  <c r="AD41"/>
  <c r="AD121"/>
  <c r="AD67"/>
  <c r="AD116"/>
  <c r="AD168"/>
  <c r="AD141"/>
  <c r="AD46"/>
  <c r="AD8"/>
  <c r="AD43"/>
  <c r="AD11"/>
  <c r="AD153"/>
  <c r="AD170"/>
  <c r="AD130"/>
  <c r="AD4"/>
  <c r="AD57"/>
  <c r="AD107"/>
  <c r="AD160"/>
  <c r="AD14"/>
  <c r="AD63"/>
  <c r="AD40"/>
  <c r="AD38"/>
  <c r="AD6"/>
  <c r="AD169"/>
  <c r="AD31"/>
  <c r="AD25"/>
  <c r="AD140"/>
  <c r="AD157"/>
  <c r="AD45"/>
  <c r="AD156"/>
  <c r="AD90"/>
  <c r="AD152"/>
  <c r="AD135"/>
  <c r="AD145"/>
  <c r="AD163"/>
  <c r="AD129"/>
  <c r="AD68"/>
  <c r="AD166"/>
  <c r="AD161"/>
  <c r="AD101"/>
  <c r="AD138"/>
  <c r="AD113"/>
  <c r="AD122"/>
  <c r="AD70"/>
  <c r="AD150"/>
  <c r="AD34"/>
  <c r="AD112"/>
  <c r="AD100"/>
  <c r="AD149"/>
  <c r="AD84"/>
  <c r="AD142"/>
  <c r="AD91"/>
  <c r="AD2"/>
  <c r="AD118"/>
  <c r="AD52"/>
  <c r="AD65"/>
  <c r="AD147"/>
  <c r="AD133"/>
  <c r="AD44"/>
  <c r="AD88"/>
  <c r="AD77"/>
  <c r="AD47"/>
  <c r="AD115"/>
  <c r="AD128"/>
  <c r="AD42"/>
  <c r="AD51"/>
  <c r="AD127"/>
  <c r="AD126"/>
  <c r="AD85"/>
  <c r="AD53"/>
  <c r="AD158"/>
  <c r="AD162"/>
  <c r="AD132"/>
  <c r="AD32"/>
  <c r="AD144"/>
  <c r="AD7"/>
  <c r="AD21"/>
  <c r="AD106"/>
  <c r="AD134"/>
  <c r="AD37"/>
  <c r="AD61"/>
  <c r="AD83"/>
  <c r="AD123"/>
  <c r="AD79"/>
  <c r="AD154"/>
  <c r="AD26"/>
  <c r="AD71"/>
  <c r="AD23"/>
  <c r="AD105"/>
  <c r="AD139"/>
  <c r="AD22"/>
  <c r="AD62"/>
  <c r="AD64"/>
  <c r="AD12"/>
  <c r="AD108"/>
  <c r="AD136"/>
  <c r="AD5"/>
  <c r="AD81"/>
  <c r="AD10"/>
  <c r="AD59"/>
  <c r="AD99"/>
  <c r="AD82"/>
  <c r="AD87"/>
  <c r="AD15"/>
  <c r="AD58"/>
  <c r="AD98"/>
  <c r="AD110"/>
  <c r="AD39"/>
  <c r="AD75"/>
  <c r="AD111"/>
  <c r="AD9"/>
  <c r="AD167"/>
  <c r="AD35"/>
  <c r="AD66"/>
  <c r="AD27"/>
  <c r="AD20"/>
  <c r="AD151"/>
  <c r="AD114"/>
  <c r="AD72"/>
  <c r="AD56"/>
  <c r="AD24"/>
  <c r="AD33"/>
  <c r="AD137"/>
  <c r="AD164"/>
  <c r="AD73"/>
  <c r="AD104"/>
  <c r="AD143"/>
  <c r="AD60"/>
  <c r="AD28"/>
  <c r="AD18"/>
  <c r="AD131"/>
  <c r="AD78"/>
  <c r="AD55"/>
  <c r="AD109"/>
  <c r="AD69"/>
  <c r="AD103"/>
  <c r="AD119"/>
  <c r="AD49"/>
  <c r="AD89"/>
  <c r="AD95"/>
  <c r="AD17"/>
  <c r="AD76"/>
  <c r="AD148"/>
  <c r="AD74"/>
  <c r="AD36"/>
  <c r="AD124"/>
  <c r="AD102"/>
  <c r="AD125"/>
  <c r="AD86"/>
  <c r="AD19"/>
  <c r="AD159"/>
  <c r="AD117"/>
  <c r="AD16"/>
  <c r="AD120"/>
  <c r="AD30"/>
  <c r="AD165"/>
  <c r="AD29"/>
  <c r="AD146"/>
  <c r="AD3"/>
  <c r="AD96"/>
  <c r="AD13"/>
  <c r="AD48"/>
  <c r="AD50"/>
  <c r="T52" l="1"/>
  <c r="T37"/>
  <c r="T59"/>
  <c r="T21"/>
</calcChain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对话内容，索引string表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1.箭头
2.方框特效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方向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作者:
坐标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尺寸.如是箭头时不填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剧情对话人物</t>
        </r>
        <r>
          <rPr>
            <sz val="9"/>
            <color indexed="81"/>
            <rFont val="宋体"/>
            <family val="3"/>
            <charset val="134"/>
          </rPr>
          <t xml:space="preserve">
1.NPC
2.主角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剧情文字框位置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剧情对话文字坐标
不填时默认位置</t>
        </r>
      </text>
    </comment>
    <comment ref="J1" authorId="0">
      <text>
        <r>
          <rPr>
            <b/>
            <sz val="9"/>
            <color indexed="81"/>
            <rFont val="宋体"/>
            <family val="3"/>
            <charset val="134"/>
          </rPr>
          <t>作者:
文字底框尺寸
不填时默认尺寸</t>
        </r>
      </text>
    </commen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作者:
文字尺寸
不填时默认尺寸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白框坐标，点击用
（不填时默认坐标）</t>
        </r>
      </text>
    </comment>
    <comment ref="M1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作者:
</t>
        </r>
        <r>
          <rPr>
            <sz val="9"/>
            <color indexed="81"/>
            <rFont val="宋体"/>
            <family val="3"/>
            <charset val="134"/>
          </rPr>
          <t>白框尺寸，点击用
（不填时默认尺寸）</t>
        </r>
      </text>
    </comment>
    <comment ref="N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分辨率适配用，需要同cocos中对应</t>
        </r>
      </text>
    </comment>
    <comment ref="O1" authorId="0">
      <text>
        <r>
          <rPr>
            <b/>
            <sz val="9"/>
            <color indexed="81"/>
            <rFont val="宋体"/>
            <family val="3"/>
            <charset val="134"/>
          </rPr>
          <t>作者:
触发界面：
1.主界面
2.关卡章节界面
3.关卡列表界面
4.敌人信息界面
5.战斗结束界面
6.舰队机库界面
7.升级指挥中心界面
8.图纸开发工厂界面
9.合成飞船界面
10.任务界面
11.武器研究所界面
12.科技研究所界面
13.星系界面
14.家园界面
15.试炼主界面
16.竞技场界面
17.星盟界面
18.星际港界面
19.战斗中界面
20.阵型界面
21.起名称界面
22.试炼界面
23.战斗界面
24.战斗结束前界面
25.选飞船界面
26.战争工坊升级界面
27.战斗失败结算界面
28.我的飞船界面
29.图纸开发工厂升级界面</t>
        </r>
      </text>
    </comment>
    <comment ref="P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主城建筑ID，锁定镜头用
1.指挥中心
2.舰队机库
3.图纸研发工厂
4.武器研究所
5.科技研究所
6.家园
7.修理厂
8.星际港
9.副本
10.仓库
11.侦查塔
12.守城炮台
13.外交
14.战争工坊
15.贸易中心
16.锻造工厂
</t>
        </r>
      </text>
    </comment>
    <comment ref="Q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建筑是否展开操作框
1.展开
2.不展开</t>
        </r>
      </text>
    </comment>
    <comment ref="R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背景黑框透明度
范围：0-255</t>
        </r>
      </text>
    </commen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touch：文字
click：按钮
visible：建筑激活动画
building：建筑激活
recv：获取服务器
specialEvent：特殊处理跳过两步（建筑升级免费）</t>
        </r>
      </text>
    </comment>
    <comment ref="T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保存步骤</t>
        </r>
      </text>
    </comment>
    <comment ref="U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播放动画名称
</t>
        </r>
      </text>
    </comment>
    <comment ref="V1" authorId="0">
      <text>
        <r>
          <rPr>
            <b/>
            <sz val="9"/>
            <color indexed="81"/>
            <rFont val="宋体"/>
            <family val="3"/>
            <charset val="134"/>
          </rPr>
          <t>作者:
是否显示红框特效</t>
        </r>
      </text>
    </comment>
    <comment ref="W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界面停止时间 
单位：秒；可精确到小数
停留时间到达后自动进入下一步</t>
        </r>
      </text>
    </comment>
    <comment ref="X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程序用字段，显示用
需要跟cocos中对应名称相同</t>
        </r>
      </text>
    </comment>
    <comment ref="Y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星系中镜头锁定
1.资源矿
2.据点</t>
        </r>
      </text>
    </comment>
    <comment ref="Z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到达该步赠送经验值</t>
        </r>
      </text>
    </comment>
    <comment ref="AA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到达该步赠送道具</t>
        </r>
      </text>
    </comment>
    <comment ref="AB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到达该步增送的道具数量</t>
        </r>
      </text>
    </commen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
剧情对话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招募飞船介绍</t>
        </r>
      </text>
    </comment>
    <comment ref="A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动画帧对话</t>
        </r>
      </text>
    </comment>
    <comment ref="A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功能介绍文字</t>
        </r>
      </text>
    </comment>
    <comment ref="A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点击破损指挥中心</t>
        </r>
      </text>
    </comment>
    <comment ref="A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特效播放时间</t>
        </r>
      </text>
    </comment>
    <comment ref="A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剧情对话1</t>
        </r>
      </text>
    </comment>
    <comment ref="A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剧情对话2
</t>
        </r>
      </text>
    </commen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图纸开发工厂介绍</t>
        </r>
      </text>
    </comment>
    <comment ref="A1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点击激活图纸开发工厂</t>
        </r>
      </text>
    </comment>
    <comment ref="A1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激活特效时间</t>
        </r>
      </text>
    </comment>
    <comment ref="A1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特效播放完，弹出图纸合成介绍</t>
        </r>
      </text>
    </comment>
    <comment ref="A1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点击图纸开发工厂</t>
        </r>
      </text>
    </commen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点击图纸建筑功能按钮</t>
        </r>
      </text>
    </comment>
    <comment ref="A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弹出界面介绍</t>
        </r>
      </text>
    </comment>
    <comment ref="A1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弹出界面介绍</t>
        </r>
      </text>
    </comment>
    <comment ref="A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</t>
        </r>
      </text>
    </comment>
    <comment ref="A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研发时间介绍</t>
        </r>
      </text>
    </comment>
    <comment ref="A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炮台剧情介绍</t>
        </r>
      </text>
    </comment>
    <comment ref="A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图纸返回主城</t>
        </r>
      </text>
    </comment>
    <comment ref="A2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炮台介绍</t>
        </r>
      </text>
    </comment>
    <comment ref="A2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点击激活炮台</t>
        </r>
      </text>
    </comment>
    <comment ref="A2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领取图纸介绍</t>
        </r>
      </text>
    </comment>
    <comment ref="A2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点击图纸开发工厂</t>
        </r>
      </text>
    </comment>
    <comment ref="A2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点击图纸建筑功能</t>
        </r>
      </text>
    </comment>
    <comment ref="A2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图纸研发时间等待介绍</t>
        </r>
      </text>
    </comment>
    <comment ref="A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点击飞船领取图纸</t>
        </r>
      </text>
    </comment>
    <comment ref="A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领取成功后，弹出领取对话1</t>
        </r>
      </text>
    </comment>
    <comment ref="A3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图纸工厂返回主城</t>
        </r>
      </text>
    </comment>
    <comment ref="A3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弹出舰队机库介绍</t>
        </r>
      </text>
    </comment>
    <comment ref="A3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选择舰队机库</t>
        </r>
      </text>
    </comment>
    <comment ref="A3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选择合成飞船头像</t>
        </r>
      </text>
    </comment>
    <comment ref="A3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点击合成飞船</t>
        </r>
      </text>
    </comment>
    <comment ref="A3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合成飞船特效播放完后，弹出剧情对话1</t>
        </r>
      </text>
    </comment>
    <comment ref="A3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剧情对话2</t>
        </r>
      </text>
    </comment>
    <comment ref="A3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舰队机库返回主城</t>
        </r>
      </text>
    </comment>
    <comment ref="A4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设置防御介绍</t>
        </r>
      </text>
    </comment>
    <comment ref="A4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点击炮台</t>
        </r>
      </text>
    </comment>
    <comment ref="A4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点击炮台建筑功能</t>
        </r>
      </text>
    </comment>
    <comment ref="A4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点击上阵飞船</t>
        </r>
      </text>
    </comment>
    <comment ref="A4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布阵界面介绍</t>
        </r>
      </text>
    </comment>
    <comment ref="A4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引导飞船1拖动动画</t>
        </r>
      </text>
    </comment>
    <comment ref="A4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点击确定</t>
        </r>
      </text>
    </comment>
    <comment ref="A4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上阵飞船介绍</t>
        </r>
      </text>
    </comment>
    <comment ref="A4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播放序列帧动画</t>
        </r>
      </text>
    </comment>
    <comment ref="A4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释放大技能提示对话</t>
        </r>
      </text>
    </comment>
    <comment ref="A5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怒气达到释放大技能时，点击飞船头像</t>
        </r>
      </text>
    </comment>
    <comment ref="A5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战斗结束剧情对话1</t>
        </r>
      </text>
    </comment>
    <comment ref="A5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战斗结束剧情对话2</t>
        </r>
      </text>
    </comment>
    <comment ref="A5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点击退出。返回主城</t>
        </r>
      </text>
    </comment>
    <comment ref="A5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弹出指挥中心升级介绍</t>
        </r>
      </text>
    </comment>
    <comment ref="A5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点击指挥中心</t>
        </r>
      </text>
    </comment>
    <comment ref="A5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点击指挥中心升级按钮</t>
        </r>
      </text>
    </comment>
    <comment ref="A5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升级界面弹出对话
</t>
        </r>
      </text>
    </comment>
    <comment ref="A5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指挥中心升级界面点击升级</t>
        </r>
      </text>
    </comment>
    <comment ref="A5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免费时间介绍</t>
        </r>
      </text>
    </comment>
    <comment ref="A6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点击免费</t>
        </r>
      </text>
    </comment>
    <comment ref="A6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升级完成特效后，点击返回</t>
        </r>
      </text>
    </comment>
    <comment ref="A6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剧情资格介绍</t>
        </r>
      </text>
    </comment>
    <comment ref="A63" authorId="0">
      <text>
        <r>
          <rPr>
            <b/>
            <sz val="9"/>
            <color indexed="81"/>
            <rFont val="宋体"/>
            <family val="3"/>
            <charset val="134"/>
          </rPr>
          <t>作者:
点击任务</t>
        </r>
      </text>
    </comment>
    <comment ref="A6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点击领取任务奖励</t>
        </r>
      </text>
    </comment>
    <comment ref="A6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领任务奖励动画</t>
        </r>
      </text>
    </comment>
    <comment ref="A6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关闭任务界面</t>
        </r>
      </text>
    </comment>
    <comment ref="A6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点击激活副本</t>
        </r>
      </text>
    </comment>
    <comment ref="A6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副本介绍</t>
        </r>
      </text>
    </comment>
    <comment ref="A7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点击副本</t>
        </r>
      </text>
    </comment>
    <comment ref="A7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点击章节</t>
        </r>
      </text>
    </comment>
    <comment ref="A7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点击关卡</t>
        </r>
      </text>
    </comment>
    <comment ref="A7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7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进入战斗</t>
        </r>
      </text>
    </comment>
    <comment ref="A7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战斗结束，点击退出</t>
        </r>
      </text>
    </comment>
    <comment ref="A7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点击第二关关卡</t>
        </r>
      </text>
    </comment>
    <comment ref="A7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7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进入战斗</t>
        </r>
      </text>
    </comment>
    <comment ref="A7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战斗结束，点击退出</t>
        </r>
      </text>
    </comment>
    <comment ref="A8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战争工坊介绍</t>
        </r>
      </text>
    </comment>
    <comment ref="A8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点击战争工坊</t>
        </r>
      </text>
    </comment>
    <comment ref="A8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点击升级按钮</t>
        </r>
      </text>
    </comment>
    <comment ref="A8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战争工坊升级界面，点击升级按钮</t>
        </r>
      </text>
    </comment>
    <comment ref="A8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8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点击舱体研发工厂</t>
        </r>
      </text>
    </comment>
    <comment ref="A8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点击图纸研发工厂功能按钮</t>
        </r>
      </text>
    </comment>
    <comment ref="A8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点击防御型页签</t>
        </r>
      </text>
    </comment>
    <comment ref="A9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点击研发按钮</t>
        </r>
      </text>
    </comment>
    <comment ref="A9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点击飞船领取图纸</t>
        </r>
      </text>
    </comment>
    <comment ref="A9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点击返回按钮</t>
        </r>
      </text>
    </comment>
    <comment ref="A9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点击舰队机库</t>
        </r>
      </text>
    </comment>
    <comment ref="A99" authorId="0">
      <text>
        <r>
          <rPr>
            <b/>
            <sz val="9"/>
            <color indexed="81"/>
            <rFont val="宋体"/>
            <family val="3"/>
            <charset val="134"/>
          </rPr>
          <t>作者:
选择合成飞船头像</t>
        </r>
      </text>
    </comment>
    <comment ref="A100" authorId="0">
      <text>
        <r>
          <rPr>
            <b/>
            <sz val="9"/>
            <color indexed="81"/>
            <rFont val="宋体"/>
            <family val="3"/>
            <charset val="134"/>
          </rPr>
          <t>作者:
点击合成飞船</t>
        </r>
      </text>
    </comment>
    <comment ref="A10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</t>
        </r>
      </text>
    </comment>
    <comment ref="A10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点击副本</t>
        </r>
      </text>
    </comment>
    <comment ref="A10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点击章节</t>
        </r>
      </text>
    </comment>
    <comment ref="A10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点击第二关关卡</t>
        </r>
      </text>
    </comment>
    <comment ref="A10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确定进入</t>
        </r>
      </text>
    </comment>
    <comment ref="A10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点击阵型</t>
        </r>
      </text>
    </comment>
    <comment ref="A10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点击最大战力按钮</t>
        </r>
      </text>
    </comment>
    <comment ref="A10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点击进入战斗</t>
        </r>
      </text>
    </comment>
    <comment ref="A11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战斗结束点击退出</t>
        </r>
      </text>
    </comment>
    <comment ref="A1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领取星星提示</t>
        </r>
      </text>
    </comment>
    <comment ref="A11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点击星星</t>
        </r>
      </text>
    </comment>
    <comment ref="A11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领取星星</t>
        </r>
      </text>
    </comment>
    <comment ref="A114" authorId="0">
      <text>
        <r>
          <rPr>
            <b/>
            <sz val="9"/>
            <color indexed="81"/>
            <rFont val="宋体"/>
            <family val="3"/>
            <charset val="134"/>
          </rPr>
          <t>作者:
返回</t>
        </r>
      </text>
    </comment>
    <comment ref="A11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返回主界面</t>
        </r>
      </text>
    </comment>
    <comment ref="A11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弹出家园剧情对话1</t>
        </r>
      </text>
    </comment>
    <comment ref="A11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家园出现点击家园</t>
        </r>
      </text>
    </comment>
    <comment ref="A11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资源矿介绍</t>
        </r>
      </text>
    </comment>
    <comment ref="A11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点击资源田</t>
        </r>
      </text>
    </comment>
    <comment ref="A12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选择资源矿</t>
        </r>
      </text>
    </comment>
    <comment ref="A1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升级资源矿介绍</t>
        </r>
      </text>
    </comment>
    <comment ref="A12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点击资源矿</t>
        </r>
      </text>
    </comment>
    <comment ref="A12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选择资源矿升级</t>
        </r>
      </text>
    </comment>
    <comment ref="A12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确定资源矿升级</t>
        </r>
      </text>
    </comment>
    <comment ref="A12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资源产出介绍</t>
        </r>
      </text>
    </comment>
    <comment ref="A12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家园返回主城</t>
        </r>
      </text>
    </comment>
    <comment ref="A12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飞船突破介绍</t>
        </r>
      </text>
    </comment>
    <comment ref="A128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点击舰队机库</t>
        </r>
      </text>
    </comment>
    <comment ref="A129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选中初始飞船</t>
        </r>
      </text>
    </comment>
    <comment ref="A13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点击详情按钮</t>
        </r>
      </text>
    </comment>
    <comment ref="A13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我的飞船界面，点击突破按钮</t>
        </r>
      </text>
    </comment>
    <comment ref="A13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我的飞船界面点击返回</t>
        </r>
      </text>
    </comment>
    <comment ref="A13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舰队机库界面点击返回按钮</t>
        </r>
      </text>
    </comment>
    <comment ref="A13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舱体研发工厂升级介绍</t>
        </r>
      </text>
    </comment>
    <comment ref="A13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点击图纸研发工厂</t>
        </r>
      </text>
    </comment>
    <comment ref="A13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点击研发工厂升级按钮</t>
        </r>
      </text>
    </comment>
    <comment ref="A13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舱体研发工厂升级界面，点击升级按钮</t>
        </r>
      </text>
    </comment>
    <comment ref="A160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什么是星系介绍</t>
        </r>
      </text>
    </comment>
    <comment ref="A16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点击星系</t>
        </r>
      </text>
    </comment>
    <comment ref="A163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镜头移动至最近无人采集的资源矿</t>
        </r>
      </text>
    </comment>
    <comment ref="A164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资源矿介绍</t>
        </r>
      </text>
    </comment>
    <comment ref="A165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返回主城对话</t>
        </r>
      </text>
    </comment>
    <comment ref="A166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返回主界面</t>
        </r>
      </text>
    </comment>
  </commentList>
</comments>
</file>

<file path=xl/sharedStrings.xml><?xml version="1.0" encoding="utf-8"?>
<sst xmlns="http://schemas.openxmlformats.org/spreadsheetml/2006/main" count="691" uniqueCount="271">
  <si>
    <t>POSTYPE</t>
    <phoneticPr fontId="1" type="noConversion"/>
  </si>
  <si>
    <t>SIZE</t>
    <phoneticPr fontId="1" type="noConversion"/>
  </si>
  <si>
    <t>INTERFACE</t>
    <phoneticPr fontId="1" type="noConversion"/>
  </si>
  <si>
    <t>FRAME</t>
    <phoneticPr fontId="1" type="noConversion"/>
  </si>
  <si>
    <t>BUILDING</t>
    <phoneticPr fontId="1" type="noConversion"/>
  </si>
  <si>
    <t>LUCENCY</t>
    <phoneticPr fontId="1" type="noConversion"/>
  </si>
  <si>
    <t>EVENT</t>
    <phoneticPr fontId="1" type="noConversion"/>
  </si>
  <si>
    <t>SAVE</t>
    <phoneticPr fontId="1" type="noConversion"/>
  </si>
  <si>
    <t>RED</t>
    <phoneticPr fontId="1" type="noConversion"/>
  </si>
  <si>
    <t>SPECIAL_EFFECTS</t>
    <phoneticPr fontId="1" type="noConversion"/>
  </si>
  <si>
    <t>STRING_KEY</t>
    <phoneticPr fontId="1" type="noConversion"/>
  </si>
  <si>
    <t>PERSON</t>
    <phoneticPr fontId="1" type="noConversion"/>
  </si>
  <si>
    <t>DIALOGUE</t>
    <phoneticPr fontId="1" type="noConversion"/>
  </si>
  <si>
    <t>click</t>
    <phoneticPr fontId="1" type="noConversion"/>
  </si>
  <si>
    <t>TYPE</t>
    <phoneticPr fontId="1" type="noConversion"/>
  </si>
  <si>
    <t>MESSAGE</t>
    <phoneticPr fontId="1" type="noConversion"/>
  </si>
  <si>
    <t>TYPE_SIZE</t>
    <phoneticPr fontId="1" type="noConversion"/>
  </si>
  <si>
    <t>TYPE_ARROWS</t>
    <phoneticPr fontId="1" type="noConversion"/>
  </si>
  <si>
    <t>1</t>
    <phoneticPr fontId="1" type="noConversion"/>
  </si>
  <si>
    <t>74,42</t>
    <phoneticPr fontId="1" type="noConversion"/>
  </si>
  <si>
    <t>touch</t>
    <phoneticPr fontId="1" type="noConversion"/>
  </si>
  <si>
    <t>touch</t>
    <phoneticPr fontId="1" type="noConversion"/>
  </si>
  <si>
    <t>2</t>
    <phoneticPr fontId="1" type="noConversion"/>
  </si>
  <si>
    <t>1</t>
    <phoneticPr fontId="1" type="noConversion"/>
  </si>
  <si>
    <t>TYPE_COORDINATE</t>
    <phoneticPr fontId="1" type="noConversion"/>
  </si>
  <si>
    <t>PERSON_COORDINATE</t>
    <phoneticPr fontId="1" type="noConversion"/>
  </si>
  <si>
    <t>PERSON_SIZE</t>
    <phoneticPr fontId="1" type="noConversion"/>
  </si>
  <si>
    <t>PERSON_TEXT_SIZE</t>
    <phoneticPr fontId="1" type="noConversion"/>
  </si>
  <si>
    <t>1</t>
    <phoneticPr fontId="1" type="noConversion"/>
  </si>
  <si>
    <t>2</t>
    <phoneticPr fontId="1" type="noConversion"/>
  </si>
  <si>
    <t>bottom</t>
  </si>
  <si>
    <t>touch</t>
    <phoneticPr fontId="1" type="noConversion"/>
  </si>
  <si>
    <t>showBtn</t>
    <phoneticPr fontId="1" type="noConversion"/>
  </si>
  <si>
    <t>main_xiufu</t>
    <phoneticPr fontId="1" type="noConversion"/>
  </si>
  <si>
    <t>jihuo_1</t>
    <phoneticPr fontId="1" type="noConversion"/>
  </si>
  <si>
    <t>jihuo_2</t>
    <phoneticPr fontId="1" type="noConversion"/>
  </si>
  <si>
    <t>recv</t>
    <phoneticPr fontId="1" type="noConversion"/>
  </si>
  <si>
    <t>click</t>
    <phoneticPr fontId="1" type="noConversion"/>
  </si>
  <si>
    <t>touch</t>
    <phoneticPr fontId="1" type="noConversion"/>
  </si>
  <si>
    <t>1</t>
    <phoneticPr fontId="1" type="noConversion"/>
  </si>
  <si>
    <t>1</t>
    <phoneticPr fontId="1" type="noConversion"/>
  </si>
  <si>
    <t>recv</t>
    <phoneticPr fontId="1" type="noConversion"/>
  </si>
  <si>
    <t>930,470</t>
    <phoneticPr fontId="1" type="noConversion"/>
  </si>
  <si>
    <t>930,470</t>
    <phoneticPr fontId="1" type="noConversion"/>
  </si>
  <si>
    <t>BUILDING_OPERATION</t>
    <phoneticPr fontId="1" type="noConversion"/>
  </si>
  <si>
    <t>showGuideAnim2</t>
    <phoneticPr fontId="1" type="noConversion"/>
  </si>
  <si>
    <t>battle</t>
    <phoneticPr fontId="1" type="noConversion"/>
  </si>
  <si>
    <t>click</t>
    <phoneticPr fontId="1" type="noConversion"/>
  </si>
  <si>
    <t>touch</t>
    <phoneticPr fontId="1" type="noConversion"/>
  </si>
  <si>
    <t>ceshi_1</t>
    <phoneticPr fontId="1" type="noConversion"/>
  </si>
  <si>
    <t>ceshi_2</t>
    <phoneticPr fontId="1" type="noConversion"/>
  </si>
  <si>
    <t>ceshi_3</t>
    <phoneticPr fontId="1" type="noConversion"/>
  </si>
  <si>
    <t>ceshi_4</t>
    <phoneticPr fontId="1" type="noConversion"/>
  </si>
  <si>
    <t>ceshi_5</t>
    <phoneticPr fontId="1" type="noConversion"/>
  </si>
  <si>
    <t>ceshi_6</t>
    <phoneticPr fontId="1" type="noConversion"/>
  </si>
  <si>
    <t>ceshi_7</t>
    <phoneticPr fontId="1" type="noConversion"/>
  </si>
  <si>
    <t>ceshi_8</t>
    <phoneticPr fontId="1" type="noConversion"/>
  </si>
  <si>
    <t>ceshi_9</t>
    <phoneticPr fontId="1" type="noConversion"/>
  </si>
  <si>
    <t>ceshi_10</t>
    <phoneticPr fontId="1" type="noConversion"/>
  </si>
  <si>
    <t>ceshi_11</t>
    <phoneticPr fontId="1" type="noConversion"/>
  </si>
  <si>
    <t>touch</t>
    <phoneticPr fontId="1" type="noConversion"/>
  </si>
  <si>
    <t>click</t>
    <phoneticPr fontId="1" type="noConversion"/>
  </si>
  <si>
    <t>click</t>
    <phoneticPr fontId="1" type="noConversion"/>
  </si>
  <si>
    <t>building</t>
  </si>
  <si>
    <t>building</t>
    <phoneticPr fontId="1" type="noConversion"/>
  </si>
  <si>
    <t>building</t>
    <phoneticPr fontId="1" type="noConversion"/>
  </si>
  <si>
    <t>ID</t>
    <phoneticPr fontId="1" type="noConversion"/>
  </si>
  <si>
    <t>GUIDANCE</t>
    <phoneticPr fontId="1" type="noConversion"/>
  </si>
  <si>
    <t>moveToJinRes</t>
    <phoneticPr fontId="1" type="noConversion"/>
  </si>
  <si>
    <t>150,40</t>
    <phoneticPr fontId="1" type="noConversion"/>
  </si>
  <si>
    <t>899,138</t>
    <phoneticPr fontId="1" type="noConversion"/>
  </si>
  <si>
    <t>75,57</t>
    <phoneticPr fontId="1" type="noConversion"/>
  </si>
  <si>
    <t>150,40</t>
    <phoneticPr fontId="1" type="noConversion"/>
  </si>
  <si>
    <t>567,303</t>
    <phoneticPr fontId="1" type="noConversion"/>
  </si>
  <si>
    <t>60,60</t>
    <phoneticPr fontId="1" type="noConversion"/>
  </si>
  <si>
    <t>150,40</t>
    <phoneticPr fontId="1" type="noConversion"/>
  </si>
  <si>
    <t>968,150</t>
    <phoneticPr fontId="1" type="noConversion"/>
  </si>
  <si>
    <t>831,167</t>
    <phoneticPr fontId="1" type="noConversion"/>
  </si>
  <si>
    <t>135,45</t>
    <phoneticPr fontId="1" type="noConversion"/>
  </si>
  <si>
    <t>50,50</t>
    <phoneticPr fontId="1" type="noConversion"/>
  </si>
  <si>
    <t>ceshi_12</t>
    <phoneticPr fontId="1" type="noConversion"/>
  </si>
  <si>
    <t>ceshi_13</t>
    <phoneticPr fontId="1" type="noConversion"/>
  </si>
  <si>
    <t>ceshi_15</t>
    <phoneticPr fontId="1" type="noConversion"/>
  </si>
  <si>
    <t>ceshi_16</t>
    <phoneticPr fontId="1" type="noConversion"/>
  </si>
  <si>
    <t>ceshi_18</t>
    <phoneticPr fontId="1" type="noConversion"/>
  </si>
  <si>
    <t>ceshi_19</t>
    <phoneticPr fontId="1" type="noConversion"/>
  </si>
  <si>
    <t>ceshi_20</t>
    <phoneticPr fontId="1" type="noConversion"/>
  </si>
  <si>
    <t>ceshi_21</t>
    <phoneticPr fontId="1" type="noConversion"/>
  </si>
  <si>
    <t>ceshi_22</t>
    <phoneticPr fontId="1" type="noConversion"/>
  </si>
  <si>
    <t>ceshi_23</t>
    <phoneticPr fontId="1" type="noConversion"/>
  </si>
  <si>
    <t>ceshi_27</t>
    <phoneticPr fontId="1" type="noConversion"/>
  </si>
  <si>
    <t>ceshi_29</t>
    <phoneticPr fontId="1" type="noConversion"/>
  </si>
  <si>
    <t>ceshi_37</t>
    <phoneticPr fontId="1" type="noConversion"/>
  </si>
  <si>
    <t>ceshi_38</t>
    <phoneticPr fontId="1" type="noConversion"/>
  </si>
  <si>
    <t>648,320</t>
    <phoneticPr fontId="1" type="noConversion"/>
  </si>
  <si>
    <t>9999,9999</t>
    <phoneticPr fontId="1" type="noConversion"/>
  </si>
  <si>
    <t>touch</t>
    <phoneticPr fontId="1" type="noConversion"/>
  </si>
  <si>
    <t>EXP</t>
    <phoneticPr fontId="1" type="noConversion"/>
  </si>
  <si>
    <t>ITEM</t>
    <phoneticPr fontId="1" type="noConversion"/>
  </si>
  <si>
    <t>ITEM_NUM</t>
    <phoneticPr fontId="1" type="noConversion"/>
  </si>
  <si>
    <t>567,378</t>
    <phoneticPr fontId="1" type="noConversion"/>
  </si>
  <si>
    <t>190,45</t>
    <phoneticPr fontId="1" type="noConversion"/>
  </si>
  <si>
    <t>130,45</t>
    <phoneticPr fontId="1" type="noConversion"/>
  </si>
  <si>
    <t>rightbottom</t>
  </si>
  <si>
    <t>touch</t>
    <phoneticPr fontId="1" type="noConversion"/>
  </si>
  <si>
    <t>click</t>
    <phoneticPr fontId="1" type="noConversion"/>
  </si>
  <si>
    <t>85,70</t>
    <phoneticPr fontId="1" type="noConversion"/>
  </si>
  <si>
    <t>jihuo_4</t>
    <phoneticPr fontId="1" type="noConversion"/>
  </si>
  <si>
    <t>click</t>
    <phoneticPr fontId="1" type="noConversion"/>
  </si>
  <si>
    <t>1</t>
    <phoneticPr fontId="1" type="noConversion"/>
  </si>
  <si>
    <t>350,500</t>
    <phoneticPr fontId="1" type="noConversion"/>
  </si>
  <si>
    <t>900,330</t>
    <phoneticPr fontId="1" type="noConversion"/>
  </si>
  <si>
    <t>touch</t>
    <phoneticPr fontId="1" type="noConversion"/>
  </si>
  <si>
    <t>buchong_4</t>
    <phoneticPr fontId="1" type="noConversion"/>
  </si>
  <si>
    <t>buchong_7</t>
    <phoneticPr fontId="1" type="noConversion"/>
  </si>
  <si>
    <t>buchong_8</t>
    <phoneticPr fontId="1" type="noConversion"/>
  </si>
  <si>
    <t>buchong_9</t>
    <phoneticPr fontId="1" type="noConversion"/>
  </si>
  <si>
    <t>buchong_10</t>
    <phoneticPr fontId="1" type="noConversion"/>
  </si>
  <si>
    <t>buchong_11</t>
    <phoneticPr fontId="1" type="noConversion"/>
  </si>
  <si>
    <t>ceshi_39</t>
    <phoneticPr fontId="1" type="noConversion"/>
  </si>
  <si>
    <t>buchong_12</t>
    <phoneticPr fontId="1" type="noConversion"/>
  </si>
  <si>
    <t>458,290</t>
    <phoneticPr fontId="1" type="noConversion"/>
  </si>
  <si>
    <t>STOP_TIEM</t>
    <phoneticPr fontId="1" type="noConversion"/>
  </si>
  <si>
    <t>buchong_2</t>
    <phoneticPr fontId="1" type="noConversion"/>
  </si>
  <si>
    <t>700,420</t>
    <phoneticPr fontId="1" type="noConversion"/>
  </si>
  <si>
    <t>1</t>
    <phoneticPr fontId="1" type="noConversion"/>
  </si>
  <si>
    <t>righttop</t>
    <phoneticPr fontId="1" type="noConversion"/>
  </si>
  <si>
    <t>185,480</t>
    <phoneticPr fontId="1" type="noConversion"/>
  </si>
  <si>
    <t>185,480</t>
    <phoneticPr fontId="1" type="noConversion"/>
  </si>
  <si>
    <t>9999,9999</t>
    <phoneticPr fontId="1" type="noConversion"/>
  </si>
  <si>
    <t>9999,9999</t>
    <phoneticPr fontId="1" type="noConversion"/>
  </si>
  <si>
    <t>80,40</t>
    <phoneticPr fontId="1" type="noConversion"/>
  </si>
  <si>
    <t>80,80</t>
    <phoneticPr fontId="1" type="noConversion"/>
  </si>
  <si>
    <t>240,310</t>
    <phoneticPr fontId="1" type="noConversion"/>
  </si>
  <si>
    <t>457,209</t>
    <phoneticPr fontId="1" type="noConversion"/>
  </si>
  <si>
    <t>60,30</t>
    <phoneticPr fontId="1" type="noConversion"/>
  </si>
  <si>
    <t>50,45</t>
    <phoneticPr fontId="1" type="noConversion"/>
  </si>
  <si>
    <t>65,32</t>
    <phoneticPr fontId="1" type="noConversion"/>
  </si>
  <si>
    <t>65,35</t>
    <phoneticPr fontId="1" type="noConversion"/>
  </si>
  <si>
    <t>click</t>
    <phoneticPr fontId="1" type="noConversion"/>
  </si>
  <si>
    <t>170,40</t>
    <phoneticPr fontId="1" type="noConversion"/>
  </si>
  <si>
    <t>50,50</t>
    <phoneticPr fontId="1" type="noConversion"/>
  </si>
  <si>
    <t>visible</t>
  </si>
  <si>
    <t>visible</t>
    <phoneticPr fontId="1" type="noConversion"/>
  </si>
  <si>
    <t>buchong_1</t>
    <phoneticPr fontId="1" type="noConversion"/>
  </si>
  <si>
    <t>touch</t>
    <phoneticPr fontId="1" type="noConversion"/>
  </si>
  <si>
    <t>1</t>
    <phoneticPr fontId="1" type="noConversion"/>
  </si>
  <si>
    <t>touch</t>
    <phoneticPr fontId="1" type="noConversion"/>
  </si>
  <si>
    <t>building</t>
    <phoneticPr fontId="1" type="noConversion"/>
  </si>
  <si>
    <t>showGuideAnim1</t>
  </si>
  <si>
    <t>345,515</t>
    <phoneticPr fontId="1" type="noConversion"/>
  </si>
  <si>
    <t>65,40</t>
    <phoneticPr fontId="1" type="noConversion"/>
  </si>
  <si>
    <t>50,60</t>
    <phoneticPr fontId="1" type="noConversion"/>
  </si>
  <si>
    <t>0</t>
    <phoneticPr fontId="1" type="noConversion"/>
  </si>
  <si>
    <t>1030,620</t>
  </si>
  <si>
    <t>center</t>
    <phoneticPr fontId="1" type="noConversion"/>
  </si>
  <si>
    <t>center</t>
    <phoneticPr fontId="1" type="noConversion"/>
  </si>
  <si>
    <t>390,356</t>
    <phoneticPr fontId="1" type="noConversion"/>
  </si>
  <si>
    <t>center</t>
    <phoneticPr fontId="1" type="noConversion"/>
  </si>
  <si>
    <t>center</t>
    <phoneticPr fontId="1" type="noConversion"/>
  </si>
  <si>
    <t>850,110</t>
    <phoneticPr fontId="1" type="noConversion"/>
  </si>
  <si>
    <t>-88,85</t>
    <phoneticPr fontId="1" type="noConversion"/>
  </si>
  <si>
    <t>center</t>
    <phoneticPr fontId="1" type="noConversion"/>
  </si>
  <si>
    <t>-20,-80</t>
    <phoneticPr fontId="1" type="noConversion"/>
  </si>
  <si>
    <t>center</t>
    <phoneticPr fontId="1" type="noConversion"/>
  </si>
  <si>
    <t>0,-80</t>
    <phoneticPr fontId="1" type="noConversion"/>
  </si>
  <si>
    <t>0,-80</t>
    <phoneticPr fontId="1" type="noConversion"/>
  </si>
  <si>
    <t>center</t>
    <phoneticPr fontId="1" type="noConversion"/>
  </si>
  <si>
    <t>-65,0</t>
    <phoneticPr fontId="1" type="noConversion"/>
  </si>
  <si>
    <t>-60,-30</t>
    <phoneticPr fontId="1" type="noConversion"/>
  </si>
  <si>
    <t>-38,112</t>
    <phoneticPr fontId="1" type="noConversion"/>
  </si>
  <si>
    <t>190,-115</t>
    <phoneticPr fontId="1" type="noConversion"/>
  </si>
  <si>
    <t>-60,-30</t>
    <phoneticPr fontId="1" type="noConversion"/>
  </si>
  <si>
    <t>center</t>
    <phoneticPr fontId="1" type="noConversion"/>
  </si>
  <si>
    <t>-38,112</t>
    <phoneticPr fontId="1" type="noConversion"/>
  </si>
  <si>
    <t>-380,82</t>
    <phoneticPr fontId="1" type="noConversion"/>
  </si>
  <si>
    <t>-50,0</t>
    <phoneticPr fontId="1" type="noConversion"/>
  </si>
  <si>
    <t>-60,-30</t>
    <phoneticPr fontId="1" type="noConversion"/>
  </si>
  <si>
    <t>-227,60</t>
    <phoneticPr fontId="1" type="noConversion"/>
  </si>
  <si>
    <t>-100,175</t>
    <phoneticPr fontId="1" type="noConversion"/>
  </si>
  <si>
    <t>center</t>
    <phoneticPr fontId="1" type="noConversion"/>
  </si>
  <si>
    <t>-105,125</t>
    <phoneticPr fontId="1" type="noConversion"/>
  </si>
  <si>
    <t>-105,125</t>
    <phoneticPr fontId="1" type="noConversion"/>
  </si>
  <si>
    <t>-385,65</t>
    <phoneticPr fontId="1" type="noConversion"/>
  </si>
  <si>
    <t>-2,-5</t>
    <phoneticPr fontId="1" type="noConversion"/>
  </si>
  <si>
    <t>-40,165</t>
    <phoneticPr fontId="1" type="noConversion"/>
  </si>
  <si>
    <t>410,63</t>
    <phoneticPr fontId="1" type="noConversion"/>
  </si>
  <si>
    <t>27,-70</t>
    <phoneticPr fontId="1" type="noConversion"/>
  </si>
  <si>
    <t>click</t>
    <phoneticPr fontId="1" type="noConversion"/>
  </si>
  <si>
    <t>righttop</t>
    <phoneticPr fontId="1" type="noConversion"/>
  </si>
  <si>
    <t>75,57</t>
    <phoneticPr fontId="1" type="noConversion"/>
  </si>
  <si>
    <t>-60,-30</t>
    <phoneticPr fontId="1" type="noConversion"/>
  </si>
  <si>
    <t>-60,-30</t>
    <phoneticPr fontId="1" type="noConversion"/>
  </si>
  <si>
    <t>jieshao_1</t>
    <phoneticPr fontId="1" type="noConversion"/>
  </si>
  <si>
    <t>touch</t>
    <phoneticPr fontId="1" type="noConversion"/>
  </si>
  <si>
    <t>center</t>
    <phoneticPr fontId="1" type="noConversion"/>
  </si>
  <si>
    <t>60,75</t>
    <phoneticPr fontId="1" type="noConversion"/>
  </si>
  <si>
    <t>17,-50</t>
    <phoneticPr fontId="1" type="noConversion"/>
  </si>
  <si>
    <t>70,40</t>
    <phoneticPr fontId="1" type="noConversion"/>
  </si>
  <si>
    <t>building</t>
    <phoneticPr fontId="1" type="noConversion"/>
  </si>
  <si>
    <t>130,45</t>
    <phoneticPr fontId="1" type="noConversion"/>
  </si>
  <si>
    <t>1</t>
    <phoneticPr fontId="1" type="noConversion"/>
  </si>
  <si>
    <t>ceshi_31</t>
    <phoneticPr fontId="1" type="noConversion"/>
  </si>
  <si>
    <t>120,70</t>
    <phoneticPr fontId="1" type="noConversion"/>
  </si>
  <si>
    <t>120,70</t>
    <phoneticPr fontId="1" type="noConversion"/>
  </si>
  <si>
    <t>140,35</t>
    <phoneticPr fontId="1" type="noConversion"/>
  </si>
  <si>
    <t>click</t>
    <phoneticPr fontId="1" type="noConversion"/>
  </si>
  <si>
    <t>170,40</t>
    <phoneticPr fontId="1" type="noConversion"/>
  </si>
  <si>
    <t>170,40</t>
    <phoneticPr fontId="1" type="noConversion"/>
  </si>
  <si>
    <t>bottom</t>
    <phoneticPr fontId="1" type="noConversion"/>
  </si>
  <si>
    <t>bottom</t>
    <phoneticPr fontId="1" type="noConversion"/>
  </si>
  <si>
    <t>570,390</t>
    <phoneticPr fontId="1" type="noConversion"/>
  </si>
  <si>
    <t>touch</t>
    <phoneticPr fontId="1" type="noConversion"/>
  </si>
  <si>
    <t/>
  </si>
  <si>
    <t>jieshao_2</t>
    <phoneticPr fontId="1" type="noConversion"/>
  </si>
  <si>
    <t>touch</t>
    <phoneticPr fontId="1" type="noConversion"/>
  </si>
  <si>
    <t>1</t>
    <phoneticPr fontId="1" type="noConversion"/>
  </si>
  <si>
    <t>click</t>
    <phoneticPr fontId="1" type="noConversion"/>
  </si>
  <si>
    <t>building</t>
    <phoneticPr fontId="1" type="noConversion"/>
  </si>
  <si>
    <t>recv</t>
    <phoneticPr fontId="1" type="noConversion"/>
  </si>
  <si>
    <t>click</t>
    <phoneticPr fontId="1" type="noConversion"/>
  </si>
  <si>
    <t>7</t>
    <phoneticPr fontId="1" type="noConversion"/>
  </si>
  <si>
    <t>232,595</t>
    <phoneticPr fontId="1" type="noConversion"/>
  </si>
  <si>
    <t>172,490</t>
    <phoneticPr fontId="1" type="noConversion"/>
  </si>
  <si>
    <t>jieshao_3</t>
    <phoneticPr fontId="1" type="noConversion"/>
  </si>
  <si>
    <t>touch</t>
    <phoneticPr fontId="1" type="noConversion"/>
  </si>
  <si>
    <t>click</t>
    <phoneticPr fontId="1" type="noConversion"/>
  </si>
  <si>
    <t>1</t>
    <phoneticPr fontId="1" type="noConversion"/>
  </si>
  <si>
    <t>jieshao_4</t>
    <phoneticPr fontId="1" type="noConversion"/>
  </si>
  <si>
    <t>touch</t>
    <phoneticPr fontId="1" type="noConversion"/>
  </si>
  <si>
    <t>recv</t>
    <phoneticPr fontId="1" type="noConversion"/>
  </si>
  <si>
    <t>486,510</t>
    <phoneticPr fontId="1" type="noConversion"/>
  </si>
  <si>
    <t>120,80</t>
    <phoneticPr fontId="1" type="noConversion"/>
  </si>
  <si>
    <t>150,40</t>
    <phoneticPr fontId="1" type="noConversion"/>
  </si>
  <si>
    <t>bottom</t>
    <phoneticPr fontId="1" type="noConversion"/>
  </si>
  <si>
    <t>215,63</t>
    <phoneticPr fontId="1" type="noConversion"/>
  </si>
  <si>
    <t>ceshi_40</t>
  </si>
  <si>
    <t>touch</t>
  </si>
  <si>
    <t>40,40</t>
  </si>
  <si>
    <t>click</t>
  </si>
  <si>
    <t>565,318</t>
  </si>
  <si>
    <t>120,40</t>
  </si>
  <si>
    <t>1</t>
    <phoneticPr fontId="1" type="noConversion"/>
  </si>
  <si>
    <t>570,200</t>
    <phoneticPr fontId="1" type="noConversion"/>
  </si>
  <si>
    <t>recv</t>
    <phoneticPr fontId="1" type="noConversion"/>
  </si>
  <si>
    <t>450,45</t>
    <phoneticPr fontId="1" type="noConversion"/>
  </si>
  <si>
    <t>-405,48</t>
    <phoneticPr fontId="1" type="noConversion"/>
  </si>
  <si>
    <t>center</t>
    <phoneticPr fontId="1" type="noConversion"/>
  </si>
  <si>
    <t>-110,-95</t>
    <phoneticPr fontId="1" type="noConversion"/>
  </si>
  <si>
    <t>534,140</t>
    <phoneticPr fontId="1" type="noConversion"/>
  </si>
  <si>
    <t>-167,70</t>
    <phoneticPr fontId="1" type="noConversion"/>
  </si>
  <si>
    <t>bottom</t>
    <phoneticPr fontId="1" type="noConversion"/>
  </si>
  <si>
    <t>120,30</t>
    <phoneticPr fontId="1" type="noConversion"/>
  </si>
  <si>
    <t>408,152</t>
    <phoneticPr fontId="1" type="noConversion"/>
  </si>
  <si>
    <t>77,-141</t>
    <phoneticPr fontId="1" type="noConversion"/>
  </si>
  <si>
    <t>205,515</t>
    <phoneticPr fontId="1" type="noConversion"/>
  </si>
  <si>
    <t>recv</t>
    <phoneticPr fontId="1" type="noConversion"/>
  </si>
  <si>
    <t>click</t>
    <phoneticPr fontId="1" type="noConversion"/>
  </si>
  <si>
    <t>touch</t>
    <phoneticPr fontId="1" type="noConversion"/>
  </si>
  <si>
    <t>jieshao_5</t>
    <phoneticPr fontId="1" type="noConversion"/>
  </si>
  <si>
    <t>jieshao_6</t>
    <phoneticPr fontId="1" type="noConversion"/>
  </si>
  <si>
    <t>jieshao_7</t>
    <phoneticPr fontId="1" type="noConversion"/>
  </si>
  <si>
    <t>1</t>
    <phoneticPr fontId="1" type="noConversion"/>
  </si>
  <si>
    <t>rightbottom</t>
    <phoneticPr fontId="1" type="noConversion"/>
  </si>
  <si>
    <t>50,50</t>
    <phoneticPr fontId="1" type="noConversion"/>
  </si>
  <si>
    <t>-160,142</t>
    <phoneticPr fontId="1" type="noConversion"/>
  </si>
  <si>
    <t>-160,142</t>
    <phoneticPr fontId="1" type="noConversion"/>
  </si>
  <si>
    <t>left</t>
    <phoneticPr fontId="1" type="noConversion"/>
  </si>
  <si>
    <t>795,-98</t>
    <phoneticPr fontId="1" type="noConversion"/>
  </si>
  <si>
    <t>300,300</t>
    <phoneticPr fontId="1" type="noConversion"/>
  </si>
  <si>
    <t>150,75</t>
    <phoneticPr fontId="1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</si>
</sst>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rgb="FF4285CC"/>
      <name val="Arial"/>
      <family val="2"/>
    </font>
    <font>
      <sz val="11"/>
      <color rgb="FF0000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2" borderId="1" xfId="0" applyNumberFormat="1" applyFont="1" applyFill="1" applyBorder="1" applyAlignment="1">
      <alignment horizontal="center"/>
    </xf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 vertical="top"/>
    </xf>
    <xf numFmtId="0" fontId="0" fillId="0" borderId="1" xfId="0" applyNumberFormat="1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2" borderId="0" xfId="0" applyNumberFormat="1" applyFont="1" applyFill="1" applyBorder="1" applyAlignment="1">
      <alignment horizontal="center"/>
    </xf>
    <xf numFmtId="49" fontId="0" fillId="2" borderId="0" xfId="0" applyNumberFormat="1" applyFont="1" applyFill="1" applyBorder="1" applyAlignment="1">
      <alignment horizontal="center" vertical="top"/>
    </xf>
    <xf numFmtId="49" fontId="0" fillId="0" borderId="0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49" fontId="0" fillId="0" borderId="0" xfId="0" applyNumberFormat="1" applyBorder="1" applyAlignment="1">
      <alignment horizontal="center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0" fontId="2" fillId="0" borderId="2" xfId="0" applyNumberFormat="1" applyFont="1" applyBorder="1" applyAlignment="1">
      <alignment horizontal="center"/>
    </xf>
    <xf numFmtId="0" fontId="5" fillId="0" borderId="0" xfId="0" applyFont="1"/>
    <xf numFmtId="49" fontId="0" fillId="0" borderId="0" xfId="0" applyNumberFormat="1" applyFont="1" applyBorder="1" applyAlignment="1">
      <alignment horizontal="center"/>
    </xf>
    <xf numFmtId="49" fontId="0" fillId="2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NumberForma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0" fillId="0" borderId="0" xfId="0" applyNumberFormat="1" applyAlignment="1">
      <alignment horizontal="center" vertical="top"/>
    </xf>
    <xf numFmtId="0" fontId="0" fillId="3" borderId="4" xfId="0" applyNumberFormat="1" applyFont="1" applyFill="1" applyBorder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</cellXfs>
  <cellStyles count="1">
    <cellStyle name="常规" xfId="0" builtinId="0"/>
  </cellStyles>
  <dxfs count="265"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30" formatCode="@"/>
      <alignment horizontal="center" vertical="top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textRotation="0" wrapText="0" indent="0" relativeIndent="255" justifyLastLine="0" shrinkToFit="0" readingOrder="0"/>
    </dxf>
    <dxf>
      <numFmt numFmtId="0" formatCode="General"/>
      <alignment horizontal="center" vertical="center" textRotation="0" wrapText="0" indent="0" relativeIndent="255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表1" displayName="表1" ref="A1:AB170" totalsRowShown="0" headerRowDxfId="56" dataDxfId="55">
  <autoFilter ref="A1:AB170"/>
  <tableColumns count="28">
    <tableColumn id="1" name="ID" dataDxfId="54" totalsRowDxfId="53"/>
    <tableColumn id="2" name="STRING_KEY" dataDxfId="52" totalsRowDxfId="51"/>
    <tableColumn id="7" name="TYPE" dataDxfId="50" totalsRowDxfId="49"/>
    <tableColumn id="3" name="TYPE_ARROWS" dataDxfId="48" totalsRowDxfId="47"/>
    <tableColumn id="4" name="TYPE_COORDINATE" dataDxfId="46" totalsRowDxfId="45"/>
    <tableColumn id="14" name="TYPE_SIZE" dataDxfId="44" totalsRowDxfId="43"/>
    <tableColumn id="25" name="PERSON" dataDxfId="42" totalsRowDxfId="41"/>
    <tableColumn id="23" name="DIALOGUE" dataDxfId="40" totalsRowDxfId="39"/>
    <tableColumn id="13" name="PERSON_COORDINATE" dataDxfId="38" totalsRowDxfId="37"/>
    <tableColumn id="24" name="PERSON_SIZE" dataDxfId="36" totalsRowDxfId="35"/>
    <tableColumn id="21" name="PERSON_TEXT_SIZE" dataDxfId="34" totalsRowDxfId="33"/>
    <tableColumn id="5" name="FRAME" dataDxfId="32" totalsRowDxfId="31"/>
    <tableColumn id="6" name="SIZE" dataDxfId="30" totalsRowDxfId="29"/>
    <tableColumn id="8" name="POSTYPE" dataDxfId="28" totalsRowDxfId="27"/>
    <tableColumn id="9" name="INTERFACE" dataDxfId="26" totalsRowDxfId="25"/>
    <tableColumn id="10" name="BUILDING" dataDxfId="24" totalsRowDxfId="23"/>
    <tableColumn id="12" name="BUILDING_OPERATION" dataDxfId="22" totalsRowDxfId="21"/>
    <tableColumn id="11" name="LUCENCY" dataDxfId="20" totalsRowDxfId="19"/>
    <tableColumn id="15" name="EVENT" dataDxfId="18" totalsRowDxfId="17"/>
    <tableColumn id="16" name="SAVE" dataDxfId="16"/>
    <tableColumn id="18" name="SPECIAL_EFFECTS" dataDxfId="15" totalsRowDxfId="14"/>
    <tableColumn id="20" name="RED" dataDxfId="13" totalsRowDxfId="12"/>
    <tableColumn id="26" name="STOP_TIEM" dataDxfId="11" totalsRowDxfId="10"/>
    <tableColumn id="17" name="MESSAGE" dataDxfId="9" totalsRowDxfId="8"/>
    <tableColumn id="27" name="GUIDANCE" dataDxfId="7" totalsRowDxfId="6"/>
    <tableColumn id="28" name="EXP" dataDxfId="5" totalsRowDxfId="4"/>
    <tableColumn id="29" name="ITEM" dataDxfId="3" totalsRowDxfId="2"/>
    <tableColumn id="30" name="ITEM_N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70"/>
  <sheetViews>
    <sheetView tabSelected="1" workbookViewId="0">
      <pane xSplit="1" ySplit="1" topLeftCell="I56" activePane="bottomRight" state="frozen"/>
      <selection pane="topRight" activeCell="B1" sqref="B1"/>
      <selection pane="bottomLeft" activeCell="A2" sqref="A2"/>
      <selection pane="bottomRight" activeCell="N76" sqref="N76"/>
    </sheetView>
  </sheetViews>
  <sheetFormatPr defaultRowHeight="13.5" outlineLevelCol="1"/>
  <cols>
    <col min="1" max="2" width="16.875" style="1" customWidth="1"/>
    <col min="3" max="3" width="15.25" style="1" customWidth="1"/>
    <col min="4" max="4" width="18.5" style="1" customWidth="1"/>
    <col min="5" max="5" width="23.5" style="2" customWidth="1"/>
    <col min="6" max="6" width="12.5" style="2" customWidth="1" outlineLevel="1"/>
    <col min="7" max="7" width="17.25" style="2" customWidth="1" outlineLevel="1"/>
    <col min="8" max="8" width="22.5" style="2" customWidth="1" outlineLevel="1"/>
    <col min="9" max="9" width="18.5" style="2" customWidth="1" outlineLevel="1"/>
    <col min="10" max="10" width="24.75" style="2" customWidth="1" outlineLevel="1"/>
    <col min="11" max="11" width="11.375" style="12" customWidth="1"/>
    <col min="12" max="12" width="10.25" style="2" customWidth="1"/>
    <col min="13" max="13" width="13.625" style="1" customWidth="1"/>
    <col min="14" max="14" width="16" style="1" customWidth="1"/>
    <col min="15" max="15" width="17.25" style="1" customWidth="1"/>
    <col min="16" max="16" width="27.25" style="1" customWidth="1"/>
    <col min="17" max="17" width="21.5" style="1" customWidth="1"/>
    <col min="18" max="18" width="11.375" style="1" customWidth="1"/>
    <col min="19" max="19" width="10.25" style="1" customWidth="1"/>
    <col min="20" max="20" width="23.5" style="1" customWidth="1"/>
    <col min="21" max="21" width="20" style="1" customWidth="1"/>
    <col min="22" max="22" width="16" style="1" customWidth="1"/>
    <col min="23" max="23" width="16.125" style="1" customWidth="1"/>
    <col min="24" max="24" width="14.75" style="1" customWidth="1"/>
    <col min="25" max="26" width="9" style="1"/>
    <col min="27" max="27" width="13.625" style="1" bestFit="1" customWidth="1"/>
    <col min="28" max="29" width="9" style="1"/>
    <col min="30" max="30" width="42.25" style="1" bestFit="1" customWidth="1"/>
    <col min="31" max="16384" width="9" style="1"/>
  </cols>
  <sheetData>
    <row r="1" spans="1:35" s="21" customFormat="1" ht="17.25" customHeight="1">
      <c r="A1" s="21" t="s">
        <v>66</v>
      </c>
      <c r="B1" s="21" t="s">
        <v>10</v>
      </c>
      <c r="C1" s="21" t="s">
        <v>14</v>
      </c>
      <c r="D1" s="21" t="s">
        <v>17</v>
      </c>
      <c r="E1" s="22" t="s">
        <v>24</v>
      </c>
      <c r="F1" s="22" t="s">
        <v>16</v>
      </c>
      <c r="G1" s="21" t="s">
        <v>11</v>
      </c>
      <c r="H1" s="21" t="s">
        <v>12</v>
      </c>
      <c r="I1" s="21" t="s">
        <v>25</v>
      </c>
      <c r="J1" s="21" t="s">
        <v>26</v>
      </c>
      <c r="K1" s="21" t="s">
        <v>27</v>
      </c>
      <c r="L1" s="23" t="s">
        <v>3</v>
      </c>
      <c r="M1" s="22" t="s">
        <v>1</v>
      </c>
      <c r="N1" s="21" t="s">
        <v>0</v>
      </c>
      <c r="O1" s="21" t="s">
        <v>2</v>
      </c>
      <c r="P1" s="21" t="s">
        <v>4</v>
      </c>
      <c r="Q1" s="21" t="s">
        <v>44</v>
      </c>
      <c r="R1" s="21" t="s">
        <v>5</v>
      </c>
      <c r="S1" s="21" t="s">
        <v>6</v>
      </c>
      <c r="T1" s="21" t="s">
        <v>7</v>
      </c>
      <c r="U1" s="21" t="s">
        <v>9</v>
      </c>
      <c r="V1" s="21" t="s">
        <v>8</v>
      </c>
      <c r="W1" s="21" t="s">
        <v>122</v>
      </c>
      <c r="X1" s="21" t="s">
        <v>15</v>
      </c>
      <c r="Y1" s="21" t="s">
        <v>67</v>
      </c>
      <c r="Z1" s="21" t="s">
        <v>97</v>
      </c>
      <c r="AA1" s="21" t="s">
        <v>98</v>
      </c>
      <c r="AB1" s="21" t="s">
        <v>99</v>
      </c>
    </row>
    <row r="2" spans="1:35" s="21" customFormat="1" ht="14.25" customHeight="1">
      <c r="A2" s="28">
        <v>1</v>
      </c>
      <c r="B2" s="21" t="s">
        <v>123</v>
      </c>
      <c r="E2" s="2"/>
      <c r="F2" s="2"/>
      <c r="I2" s="2"/>
      <c r="J2" s="2"/>
      <c r="K2" s="2"/>
      <c r="L2" s="23"/>
      <c r="M2" s="22"/>
      <c r="O2" s="21">
        <v>21</v>
      </c>
      <c r="Q2" s="21">
        <v>2</v>
      </c>
      <c r="R2" s="21">
        <v>0</v>
      </c>
      <c r="S2" s="21" t="s">
        <v>20</v>
      </c>
      <c r="Z2" s="21" t="s">
        <v>213</v>
      </c>
      <c r="AD2" s="31" t="str">
        <f>Getcmt(A2)</f>
        <v>作者:剧情对话</v>
      </c>
    </row>
    <row r="3" spans="1:35" s="21" customFormat="1" ht="13.5" customHeight="1">
      <c r="A3" s="28">
        <v>2</v>
      </c>
      <c r="B3" s="21" t="s">
        <v>113</v>
      </c>
      <c r="E3" s="22"/>
      <c r="F3" s="22"/>
      <c r="G3" s="21">
        <v>1</v>
      </c>
      <c r="L3" s="23"/>
      <c r="M3" s="22"/>
      <c r="O3" s="21">
        <v>25</v>
      </c>
      <c r="Q3" s="21">
        <v>2</v>
      </c>
      <c r="S3" s="21" t="s">
        <v>112</v>
      </c>
      <c r="Z3" s="21" t="s">
        <v>213</v>
      </c>
      <c r="AD3" s="31" t="str">
        <f t="shared" ref="AD3:AD66" si="0">Getcmt(A3)</f>
        <v>作者:招募飞船介绍</v>
      </c>
    </row>
    <row r="4" spans="1:35">
      <c r="A4" s="28">
        <v>3</v>
      </c>
      <c r="B4" s="4" t="s">
        <v>49</v>
      </c>
      <c r="C4" s="4"/>
      <c r="G4" s="2" t="s">
        <v>18</v>
      </c>
      <c r="K4" s="2"/>
      <c r="L4" s="12"/>
      <c r="M4" s="2"/>
      <c r="O4" s="1">
        <v>1</v>
      </c>
      <c r="P4" s="1">
        <v>1</v>
      </c>
      <c r="Q4" s="1">
        <v>2</v>
      </c>
      <c r="S4" s="1" t="s">
        <v>20</v>
      </c>
      <c r="X4" t="s">
        <v>149</v>
      </c>
      <c r="Z4" s="1" t="s">
        <v>213</v>
      </c>
      <c r="AD4" s="31" t="str">
        <f t="shared" si="0"/>
        <v>作者:动画帧对话</v>
      </c>
      <c r="AI4" s="21"/>
    </row>
    <row r="5" spans="1:35">
      <c r="A5" s="28">
        <v>4</v>
      </c>
      <c r="C5" s="1">
        <v>1</v>
      </c>
      <c r="D5" s="13">
        <v>180</v>
      </c>
      <c r="E5" s="12" t="s">
        <v>161</v>
      </c>
      <c r="F5" s="12"/>
      <c r="G5" s="12"/>
      <c r="H5" s="12"/>
      <c r="I5" s="12"/>
      <c r="J5" s="12"/>
      <c r="L5" s="12" t="s">
        <v>161</v>
      </c>
      <c r="M5" s="12" t="s">
        <v>132</v>
      </c>
      <c r="N5" s="13" t="s">
        <v>103</v>
      </c>
      <c r="O5" s="13">
        <v>1</v>
      </c>
      <c r="P5" s="17"/>
      <c r="Q5" s="26">
        <v>2</v>
      </c>
      <c r="R5" s="13">
        <v>0</v>
      </c>
      <c r="S5" s="13" t="s">
        <v>13</v>
      </c>
      <c r="T5" s="1">
        <f>表1[[#This Row],[ID]]</f>
        <v>4</v>
      </c>
      <c r="X5" s="1" t="s">
        <v>32</v>
      </c>
      <c r="Z5" s="1">
        <v>500</v>
      </c>
      <c r="AD5" s="31" t="str">
        <f t="shared" si="0"/>
        <v>作者:返回主城</v>
      </c>
      <c r="AI5" s="21"/>
    </row>
    <row r="6" spans="1:35">
      <c r="A6" s="28">
        <v>5</v>
      </c>
      <c r="B6" s="4" t="s">
        <v>50</v>
      </c>
      <c r="C6" s="4"/>
      <c r="G6" s="2" t="s">
        <v>18</v>
      </c>
      <c r="K6" s="2"/>
      <c r="L6" s="12"/>
      <c r="M6" s="2"/>
      <c r="O6" s="1">
        <v>1</v>
      </c>
      <c r="Q6" s="1">
        <v>2</v>
      </c>
      <c r="S6" s="1" t="s">
        <v>21</v>
      </c>
      <c r="Z6" s="1" t="s">
        <v>213</v>
      </c>
      <c r="AD6" s="31" t="str">
        <f t="shared" si="0"/>
        <v>作者:功能介绍文字</v>
      </c>
      <c r="AI6" s="21"/>
    </row>
    <row r="7" spans="1:35">
      <c r="A7" s="28">
        <v>6</v>
      </c>
      <c r="B7" s="4"/>
      <c r="C7" s="4">
        <v>1</v>
      </c>
      <c r="D7" s="1">
        <v>0</v>
      </c>
      <c r="E7" s="12" t="s">
        <v>168</v>
      </c>
      <c r="G7" s="2" t="s">
        <v>109</v>
      </c>
      <c r="H7" s="2" t="s">
        <v>19</v>
      </c>
      <c r="I7" s="1"/>
      <c r="J7" s="1"/>
      <c r="K7" s="1"/>
      <c r="L7" s="12" t="s">
        <v>168</v>
      </c>
      <c r="M7" s="12" t="s">
        <v>79</v>
      </c>
      <c r="N7" s="1" t="s">
        <v>155</v>
      </c>
      <c r="O7" s="1">
        <v>1</v>
      </c>
      <c r="P7" s="1">
        <v>1</v>
      </c>
      <c r="Q7" s="1">
        <v>2</v>
      </c>
      <c r="R7" s="3">
        <v>0</v>
      </c>
      <c r="S7" s="1" t="s">
        <v>13</v>
      </c>
      <c r="X7" s="1" t="s">
        <v>33</v>
      </c>
      <c r="Z7" s="1" t="s">
        <v>213</v>
      </c>
      <c r="AD7" s="31" t="str">
        <f t="shared" si="0"/>
        <v>作者:点击破损指挥中心</v>
      </c>
      <c r="AI7" s="21"/>
    </row>
    <row r="8" spans="1:35">
      <c r="A8" s="28">
        <v>7</v>
      </c>
      <c r="B8" s="4"/>
      <c r="C8" s="4"/>
      <c r="E8" s="14" t="s">
        <v>129</v>
      </c>
      <c r="I8" s="1"/>
      <c r="J8" s="1"/>
      <c r="K8" s="1"/>
      <c r="L8" s="14"/>
      <c r="M8" s="3"/>
      <c r="O8" s="1">
        <v>1</v>
      </c>
      <c r="P8" s="1">
        <v>1</v>
      </c>
      <c r="Q8" s="1">
        <v>2</v>
      </c>
      <c r="R8" s="3">
        <v>0</v>
      </c>
      <c r="S8" s="1" t="s">
        <v>143</v>
      </c>
      <c r="T8" s="1">
        <f>表1[[#This Row],[ID]]</f>
        <v>7</v>
      </c>
      <c r="W8" s="1">
        <v>2</v>
      </c>
      <c r="Z8" s="1">
        <v>500</v>
      </c>
      <c r="AD8" s="31" t="str">
        <f t="shared" si="0"/>
        <v>作者:特效播放时间</v>
      </c>
      <c r="AI8" s="21"/>
    </row>
    <row r="9" spans="1:35">
      <c r="A9" s="28">
        <v>8</v>
      </c>
      <c r="B9" s="4" t="s">
        <v>51</v>
      </c>
      <c r="G9" s="2" t="s">
        <v>22</v>
      </c>
      <c r="K9" s="2"/>
      <c r="L9" s="12"/>
      <c r="M9" s="2"/>
      <c r="O9" s="1">
        <v>1</v>
      </c>
      <c r="Q9" s="1">
        <v>2</v>
      </c>
      <c r="R9" s="13"/>
      <c r="S9" s="1" t="s">
        <v>20</v>
      </c>
      <c r="Z9" s="1" t="s">
        <v>213</v>
      </c>
      <c r="AD9" s="31" t="str">
        <f t="shared" si="0"/>
        <v>作者:剧情对话1</v>
      </c>
      <c r="AI9" s="21"/>
    </row>
    <row r="10" spans="1:35">
      <c r="A10" s="28">
        <v>9</v>
      </c>
      <c r="B10" s="4" t="s">
        <v>52</v>
      </c>
      <c r="E10" s="12"/>
      <c r="F10" s="12"/>
      <c r="G10" s="12" t="s">
        <v>23</v>
      </c>
      <c r="H10" s="12"/>
      <c r="I10" s="12"/>
      <c r="J10" s="12"/>
      <c r="L10" s="12"/>
      <c r="M10" s="12"/>
      <c r="O10" s="1">
        <v>1</v>
      </c>
      <c r="Q10" s="1">
        <v>2</v>
      </c>
      <c r="S10" s="1" t="s">
        <v>21</v>
      </c>
      <c r="Z10" s="1" t="s">
        <v>213</v>
      </c>
      <c r="AD10" s="31" t="str">
        <f t="shared" si="0"/>
        <v>作者:剧情对话2</v>
      </c>
      <c r="AI10" s="21"/>
    </row>
    <row r="11" spans="1:35">
      <c r="A11" s="28">
        <v>10</v>
      </c>
      <c r="B11" s="4" t="s">
        <v>53</v>
      </c>
      <c r="C11" s="4"/>
      <c r="E11" s="3"/>
      <c r="F11" s="3"/>
      <c r="G11" s="2" t="s">
        <v>23</v>
      </c>
      <c r="K11" s="2"/>
      <c r="L11" s="12"/>
      <c r="M11" s="2"/>
      <c r="O11" s="1">
        <v>1</v>
      </c>
      <c r="P11" s="1">
        <v>3</v>
      </c>
      <c r="Q11" s="1">
        <v>2</v>
      </c>
      <c r="R11" s="13"/>
      <c r="S11" s="1" t="s">
        <v>21</v>
      </c>
      <c r="Z11" s="1" t="s">
        <v>213</v>
      </c>
      <c r="AD11" s="31" t="str">
        <f t="shared" si="0"/>
        <v>作者:图纸开发工厂介绍</v>
      </c>
      <c r="AI11" s="21"/>
    </row>
    <row r="12" spans="1:35">
      <c r="A12" s="28">
        <v>11</v>
      </c>
      <c r="B12" s="4"/>
      <c r="C12" s="4">
        <v>1</v>
      </c>
      <c r="D12" s="1">
        <v>0</v>
      </c>
      <c r="E12" s="3" t="s">
        <v>163</v>
      </c>
      <c r="H12" s="12"/>
      <c r="I12" s="12"/>
      <c r="J12" s="12"/>
      <c r="L12" s="3" t="s">
        <v>163</v>
      </c>
      <c r="M12" s="12" t="s">
        <v>132</v>
      </c>
      <c r="N12" s="1" t="s">
        <v>162</v>
      </c>
      <c r="O12" s="1">
        <v>1</v>
      </c>
      <c r="Q12" s="1">
        <v>2</v>
      </c>
      <c r="R12" s="3">
        <v>0</v>
      </c>
      <c r="S12" s="13" t="s">
        <v>61</v>
      </c>
      <c r="X12" s="1" t="s">
        <v>34</v>
      </c>
      <c r="Z12" s="1" t="s">
        <v>213</v>
      </c>
      <c r="AD12" s="31" t="str">
        <f t="shared" si="0"/>
        <v>作者:点击激活图纸开发工厂</v>
      </c>
    </row>
    <row r="13" spans="1:35">
      <c r="A13" s="28">
        <v>12</v>
      </c>
      <c r="B13" s="4"/>
      <c r="C13" s="4"/>
      <c r="E13" s="3" t="s">
        <v>130</v>
      </c>
      <c r="H13" s="12"/>
      <c r="I13" s="12"/>
      <c r="J13" s="12"/>
      <c r="L13" s="12"/>
      <c r="M13" s="3"/>
      <c r="O13" s="1">
        <v>1</v>
      </c>
      <c r="P13" s="1">
        <v>3</v>
      </c>
      <c r="Q13" s="1">
        <v>2</v>
      </c>
      <c r="R13" s="3">
        <v>0</v>
      </c>
      <c r="S13" s="13" t="s">
        <v>143</v>
      </c>
      <c r="T13" s="1">
        <f>表1[[#This Row],[ID]]</f>
        <v>12</v>
      </c>
      <c r="W13" s="1">
        <v>2</v>
      </c>
      <c r="Z13" s="1">
        <v>380</v>
      </c>
      <c r="AD13" s="31" t="str">
        <f t="shared" si="0"/>
        <v>作者:激活特效时间</v>
      </c>
    </row>
    <row r="14" spans="1:35">
      <c r="A14" s="28">
        <v>13</v>
      </c>
      <c r="B14" s="4" t="s">
        <v>54</v>
      </c>
      <c r="C14" s="4"/>
      <c r="G14" s="2" t="s">
        <v>28</v>
      </c>
      <c r="K14" s="2"/>
      <c r="L14" s="12"/>
      <c r="M14" s="2"/>
      <c r="O14" s="1">
        <v>1</v>
      </c>
      <c r="Q14" s="1">
        <v>2</v>
      </c>
      <c r="R14" s="13"/>
      <c r="S14" s="1" t="s">
        <v>60</v>
      </c>
      <c r="Z14" s="1" t="s">
        <v>213</v>
      </c>
      <c r="AD14" s="31" t="str">
        <f t="shared" si="0"/>
        <v>作者:特效播放完，弹出图纸合成介绍</v>
      </c>
    </row>
    <row r="15" spans="1:35" ht="14.25">
      <c r="A15" s="28">
        <v>14</v>
      </c>
      <c r="C15" s="4">
        <v>1</v>
      </c>
      <c r="D15" s="1">
        <v>0</v>
      </c>
      <c r="E15" s="3" t="s">
        <v>166</v>
      </c>
      <c r="H15" s="12"/>
      <c r="I15" s="12"/>
      <c r="J15" s="12"/>
      <c r="L15" s="3" t="s">
        <v>165</v>
      </c>
      <c r="M15" s="2" t="s">
        <v>131</v>
      </c>
      <c r="N15" s="1" t="s">
        <v>164</v>
      </c>
      <c r="O15" s="1">
        <v>1</v>
      </c>
      <c r="P15" s="1">
        <v>3</v>
      </c>
      <c r="Q15" s="1">
        <v>2</v>
      </c>
      <c r="R15" s="3">
        <v>0</v>
      </c>
      <c r="S15" s="27" t="s">
        <v>65</v>
      </c>
      <c r="U15" s="18"/>
      <c r="Z15" s="1" t="s">
        <v>213</v>
      </c>
      <c r="AD15" s="31" t="str">
        <f t="shared" si="0"/>
        <v>作者:点击图纸开发工厂</v>
      </c>
    </row>
    <row r="16" spans="1:35">
      <c r="A16" s="28">
        <v>15</v>
      </c>
      <c r="C16" s="4">
        <v>1</v>
      </c>
      <c r="D16" s="1">
        <v>0</v>
      </c>
      <c r="E16" s="2" t="s">
        <v>184</v>
      </c>
      <c r="H16" s="12"/>
      <c r="I16" s="12"/>
      <c r="J16" s="12"/>
      <c r="L16" s="2" t="s">
        <v>184</v>
      </c>
      <c r="M16" s="3" t="s">
        <v>137</v>
      </c>
      <c r="N16" s="1" t="s">
        <v>167</v>
      </c>
      <c r="O16" s="1">
        <v>1</v>
      </c>
      <c r="P16" s="1">
        <v>3</v>
      </c>
      <c r="Q16" s="1">
        <v>2</v>
      </c>
      <c r="R16" s="3">
        <v>0</v>
      </c>
      <c r="S16" s="13" t="s">
        <v>13</v>
      </c>
      <c r="Z16" s="1" t="s">
        <v>213</v>
      </c>
      <c r="AD16" s="31" t="str">
        <f t="shared" si="0"/>
        <v>作者:点击图纸建筑功能按钮</v>
      </c>
    </row>
    <row r="17" spans="1:30">
      <c r="A17" s="28">
        <v>16</v>
      </c>
      <c r="B17" s="4" t="s">
        <v>55</v>
      </c>
      <c r="C17" s="1">
        <v>2</v>
      </c>
      <c r="D17" s="1">
        <v>0</v>
      </c>
      <c r="E17" s="2" t="s">
        <v>157</v>
      </c>
      <c r="F17" s="2" t="s">
        <v>124</v>
      </c>
      <c r="K17" s="2"/>
      <c r="M17" s="2"/>
      <c r="O17" s="1">
        <v>8</v>
      </c>
      <c r="Q17" s="1">
        <v>2</v>
      </c>
      <c r="R17" s="1">
        <v>0</v>
      </c>
      <c r="S17" s="1" t="s">
        <v>21</v>
      </c>
      <c r="Z17" s="1" t="s">
        <v>213</v>
      </c>
      <c r="AD17" s="31" t="str">
        <f t="shared" si="0"/>
        <v>作者:弹出界面介绍</v>
      </c>
    </row>
    <row r="18" spans="1:30">
      <c r="A18" s="28">
        <v>17</v>
      </c>
      <c r="B18" s="4" t="s">
        <v>56</v>
      </c>
      <c r="C18" s="1">
        <v>2</v>
      </c>
      <c r="D18" s="1">
        <v>0</v>
      </c>
      <c r="E18" s="2" t="s">
        <v>111</v>
      </c>
      <c r="F18" s="2" t="s">
        <v>110</v>
      </c>
      <c r="G18" s="3"/>
      <c r="K18" s="2"/>
      <c r="L18" s="14"/>
      <c r="M18" s="3"/>
      <c r="O18" s="1">
        <v>8</v>
      </c>
      <c r="Q18" s="1">
        <v>2</v>
      </c>
      <c r="R18" s="1">
        <v>0</v>
      </c>
      <c r="S18" s="1" t="s">
        <v>21</v>
      </c>
      <c r="Z18" s="1" t="s">
        <v>213</v>
      </c>
      <c r="AD18" s="31" t="str">
        <f t="shared" si="0"/>
        <v>作者:弹出界面介绍</v>
      </c>
    </row>
    <row r="19" spans="1:30">
      <c r="A19" s="28">
        <v>18</v>
      </c>
      <c r="C19" s="1">
        <v>1</v>
      </c>
      <c r="D19" s="1">
        <v>180</v>
      </c>
      <c r="E19" s="2" t="s">
        <v>70</v>
      </c>
      <c r="H19" s="3"/>
      <c r="J19" s="3"/>
      <c r="K19" s="3"/>
      <c r="L19" s="2" t="s">
        <v>70</v>
      </c>
      <c r="M19" s="2" t="s">
        <v>69</v>
      </c>
      <c r="O19" s="1">
        <v>8</v>
      </c>
      <c r="Q19" s="1">
        <v>2</v>
      </c>
      <c r="R19" s="3">
        <v>0</v>
      </c>
      <c r="S19" s="13" t="s">
        <v>36</v>
      </c>
      <c r="Z19" s="1" t="s">
        <v>213</v>
      </c>
      <c r="AD19" s="31" t="str">
        <f t="shared" si="0"/>
        <v>作者:点击研发</v>
      </c>
    </row>
    <row r="20" spans="1:30">
      <c r="A20" s="28">
        <v>19</v>
      </c>
      <c r="B20" s="1" t="s">
        <v>114</v>
      </c>
      <c r="C20" s="1">
        <v>2</v>
      </c>
      <c r="D20" s="1">
        <v>0</v>
      </c>
      <c r="E20" s="2" t="s">
        <v>111</v>
      </c>
      <c r="F20" s="2" t="s">
        <v>110</v>
      </c>
      <c r="H20" s="3"/>
      <c r="K20" s="2"/>
      <c r="M20" s="2"/>
      <c r="O20" s="1">
        <v>8</v>
      </c>
      <c r="Q20" s="1">
        <v>2</v>
      </c>
      <c r="R20" s="3">
        <v>0</v>
      </c>
      <c r="S20" s="13" t="s">
        <v>112</v>
      </c>
      <c r="T20" s="1">
        <f>$T$22</f>
        <v>21</v>
      </c>
      <c r="Z20" s="1">
        <v>380</v>
      </c>
      <c r="AD20" s="31" t="str">
        <f t="shared" si="0"/>
        <v>作者:研发时间介绍</v>
      </c>
    </row>
    <row r="21" spans="1:30">
      <c r="A21" s="28">
        <v>20</v>
      </c>
      <c r="B21" s="4" t="s">
        <v>57</v>
      </c>
      <c r="E21" s="7"/>
      <c r="F21" s="7"/>
      <c r="G21" s="7" t="s">
        <v>28</v>
      </c>
      <c r="H21" s="7"/>
      <c r="I21" s="15"/>
      <c r="J21" s="15"/>
      <c r="K21" s="15"/>
      <c r="L21" s="15"/>
      <c r="M21" s="7"/>
      <c r="O21" s="1">
        <v>8</v>
      </c>
      <c r="Q21" s="1">
        <v>2</v>
      </c>
      <c r="S21" s="1" t="s">
        <v>21</v>
      </c>
      <c r="T21" s="1">
        <f>$T$22</f>
        <v>21</v>
      </c>
      <c r="Z21" s="1">
        <v>380</v>
      </c>
      <c r="AD21" s="31" t="str">
        <f t="shared" si="0"/>
        <v>作者:炮台剧情介绍</v>
      </c>
    </row>
    <row r="22" spans="1:30">
      <c r="A22" s="28">
        <v>21</v>
      </c>
      <c r="C22" s="1">
        <v>1</v>
      </c>
      <c r="D22" s="1">
        <v>0</v>
      </c>
      <c r="E22" s="7" t="s">
        <v>169</v>
      </c>
      <c r="H22" s="1"/>
      <c r="I22" s="15"/>
      <c r="J22" s="15"/>
      <c r="K22" s="15"/>
      <c r="L22" s="19" t="s">
        <v>169</v>
      </c>
      <c r="M22" s="3" t="s">
        <v>71</v>
      </c>
      <c r="N22" s="1" t="s">
        <v>126</v>
      </c>
      <c r="O22" s="1">
        <v>8</v>
      </c>
      <c r="Q22" s="1">
        <v>2</v>
      </c>
      <c r="R22" s="3">
        <v>0</v>
      </c>
      <c r="S22" s="13" t="s">
        <v>13</v>
      </c>
      <c r="T22" s="1">
        <f>表1[[#This Row],[ID]]</f>
        <v>21</v>
      </c>
      <c r="Z22" s="1">
        <v>380</v>
      </c>
      <c r="AD22" s="31" t="str">
        <f t="shared" si="0"/>
        <v>作者:图纸返回主城</v>
      </c>
    </row>
    <row r="23" spans="1:30">
      <c r="A23" s="28">
        <v>22</v>
      </c>
      <c r="B23" s="4" t="s">
        <v>58</v>
      </c>
      <c r="E23" s="6"/>
      <c r="F23" s="6"/>
      <c r="G23" s="6" t="s">
        <v>28</v>
      </c>
      <c r="H23" s="6"/>
      <c r="I23" s="20"/>
      <c r="J23" s="20"/>
      <c r="K23" s="20"/>
      <c r="L23" s="20"/>
      <c r="M23" s="6"/>
      <c r="N23" s="5"/>
      <c r="O23" s="1">
        <v>1</v>
      </c>
      <c r="Q23" s="1">
        <v>2</v>
      </c>
      <c r="S23" s="1" t="s">
        <v>31</v>
      </c>
      <c r="Z23" s="1" t="s">
        <v>213</v>
      </c>
      <c r="AD23" s="31" t="str">
        <f t="shared" si="0"/>
        <v>作者:炮台介绍</v>
      </c>
    </row>
    <row r="24" spans="1:30">
      <c r="A24" s="28">
        <v>23</v>
      </c>
      <c r="C24" s="4">
        <v>1</v>
      </c>
      <c r="D24" s="1">
        <v>0</v>
      </c>
      <c r="E24" s="16" t="s">
        <v>174</v>
      </c>
      <c r="H24" s="2" t="s">
        <v>19</v>
      </c>
      <c r="I24" s="1"/>
      <c r="J24" s="1"/>
      <c r="K24" s="1"/>
      <c r="L24" s="16" t="s">
        <v>170</v>
      </c>
      <c r="M24" s="3" t="s">
        <v>132</v>
      </c>
      <c r="N24" s="8" t="s">
        <v>167</v>
      </c>
      <c r="O24" s="1">
        <v>1</v>
      </c>
      <c r="P24" s="1">
        <v>12</v>
      </c>
      <c r="Q24" s="1">
        <v>2</v>
      </c>
      <c r="R24" s="3">
        <v>0</v>
      </c>
      <c r="S24" s="13" t="s">
        <v>62</v>
      </c>
      <c r="X24" s="1" t="s">
        <v>35</v>
      </c>
      <c r="Z24" s="1" t="s">
        <v>213</v>
      </c>
      <c r="AD24" s="31" t="str">
        <f t="shared" si="0"/>
        <v>作者:点击激活炮台</v>
      </c>
    </row>
    <row r="25" spans="1:30">
      <c r="A25" s="28">
        <v>24</v>
      </c>
      <c r="C25" s="4"/>
      <c r="E25" s="14" t="s">
        <v>130</v>
      </c>
      <c r="I25" s="1"/>
      <c r="J25" s="1"/>
      <c r="K25" s="1"/>
      <c r="L25" s="14"/>
      <c r="M25" s="3"/>
      <c r="N25" s="8"/>
      <c r="O25" s="1">
        <v>1</v>
      </c>
      <c r="P25" s="1">
        <v>12</v>
      </c>
      <c r="Q25" s="1">
        <v>2</v>
      </c>
      <c r="R25" s="3">
        <v>0</v>
      </c>
      <c r="S25" s="27" t="s">
        <v>142</v>
      </c>
      <c r="T25" s="1">
        <f>表1[[#This Row],[ID]]</f>
        <v>24</v>
      </c>
      <c r="W25" s="1">
        <v>2</v>
      </c>
      <c r="Z25" s="1">
        <v>380</v>
      </c>
      <c r="AD25" s="31" t="str">
        <f t="shared" si="0"/>
        <v/>
      </c>
    </row>
    <row r="26" spans="1:30">
      <c r="A26" s="28">
        <v>25</v>
      </c>
      <c r="B26" s="4" t="s">
        <v>59</v>
      </c>
      <c r="G26" s="2" t="s">
        <v>28</v>
      </c>
      <c r="K26" s="2"/>
      <c r="L26" s="12"/>
      <c r="M26" s="2"/>
      <c r="N26" s="5"/>
      <c r="O26" s="1">
        <v>1</v>
      </c>
      <c r="Q26" s="1">
        <v>2</v>
      </c>
      <c r="S26" s="1" t="s">
        <v>21</v>
      </c>
      <c r="Z26" s="1" t="s">
        <v>213</v>
      </c>
      <c r="AD26" s="31" t="str">
        <f t="shared" si="0"/>
        <v>作者:领取图纸介绍</v>
      </c>
    </row>
    <row r="27" spans="1:30">
      <c r="A27" s="28">
        <v>26</v>
      </c>
      <c r="C27" s="1">
        <v>1</v>
      </c>
      <c r="D27" s="1">
        <v>0</v>
      </c>
      <c r="E27" s="3" t="s">
        <v>165</v>
      </c>
      <c r="H27" s="12"/>
      <c r="I27" s="12"/>
      <c r="J27" s="12"/>
      <c r="L27" s="3" t="s">
        <v>165</v>
      </c>
      <c r="M27" s="2" t="s">
        <v>131</v>
      </c>
      <c r="N27" s="5" t="s">
        <v>167</v>
      </c>
      <c r="O27" s="1">
        <v>1</v>
      </c>
      <c r="P27" s="1">
        <v>3</v>
      </c>
      <c r="Q27" s="1">
        <v>2</v>
      </c>
      <c r="R27" s="3">
        <v>0</v>
      </c>
      <c r="S27" s="13" t="s">
        <v>63</v>
      </c>
      <c r="Z27" s="1" t="s">
        <v>213</v>
      </c>
      <c r="AD27" s="31" t="str">
        <f t="shared" si="0"/>
        <v>作者:点击图纸开发工厂</v>
      </c>
    </row>
    <row r="28" spans="1:30">
      <c r="A28" s="28">
        <v>27</v>
      </c>
      <c r="C28" s="1">
        <v>1</v>
      </c>
      <c r="D28" s="5">
        <v>0</v>
      </c>
      <c r="E28" s="2" t="s">
        <v>184</v>
      </c>
      <c r="H28" s="12"/>
      <c r="I28" s="12"/>
      <c r="J28" s="12"/>
      <c r="L28" s="2" t="s">
        <v>184</v>
      </c>
      <c r="M28" s="3" t="s">
        <v>137</v>
      </c>
      <c r="N28" s="5" t="s">
        <v>167</v>
      </c>
      <c r="O28" s="1">
        <v>1</v>
      </c>
      <c r="Q28" s="1">
        <v>2</v>
      </c>
      <c r="R28" s="3">
        <v>0</v>
      </c>
      <c r="S28" s="13" t="s">
        <v>13</v>
      </c>
      <c r="Z28" s="1" t="s">
        <v>213</v>
      </c>
      <c r="AD28" s="31" t="str">
        <f t="shared" si="0"/>
        <v>作者:点击图纸建筑功能</v>
      </c>
    </row>
    <row r="29" spans="1:30">
      <c r="A29" s="28">
        <v>28</v>
      </c>
      <c r="B29" s="4" t="s">
        <v>80</v>
      </c>
      <c r="G29" s="2" t="s">
        <v>18</v>
      </c>
      <c r="K29" s="2"/>
      <c r="L29" s="12"/>
      <c r="M29" s="2"/>
      <c r="N29" s="5"/>
      <c r="O29" s="1">
        <v>8</v>
      </c>
      <c r="Q29" s="1">
        <v>2</v>
      </c>
      <c r="S29" s="1" t="s">
        <v>20</v>
      </c>
      <c r="Z29" s="1" t="s">
        <v>213</v>
      </c>
      <c r="AD29" s="31" t="str">
        <f t="shared" si="0"/>
        <v>作者:图纸研发时间等待介绍</v>
      </c>
    </row>
    <row r="30" spans="1:30">
      <c r="A30" s="28">
        <v>29</v>
      </c>
      <c r="C30" s="1">
        <v>1</v>
      </c>
      <c r="D30" s="10">
        <v>0</v>
      </c>
      <c r="E30" s="2" t="s">
        <v>127</v>
      </c>
      <c r="H30" s="11"/>
      <c r="I30" s="11"/>
      <c r="J30" s="11"/>
      <c r="K30" s="11"/>
      <c r="L30" s="2" t="s">
        <v>128</v>
      </c>
      <c r="M30" s="3" t="s">
        <v>232</v>
      </c>
      <c r="N30" s="10"/>
      <c r="O30" s="1">
        <v>8</v>
      </c>
      <c r="Q30" s="1">
        <v>2</v>
      </c>
      <c r="R30" s="3">
        <v>0</v>
      </c>
      <c r="S30" s="13" t="s">
        <v>36</v>
      </c>
      <c r="Z30" s="1" t="s">
        <v>213</v>
      </c>
      <c r="AD30" s="31" t="str">
        <f t="shared" si="0"/>
        <v>作者:点击飞船领取图纸</v>
      </c>
    </row>
    <row r="31" spans="1:30">
      <c r="A31" s="28">
        <v>30</v>
      </c>
      <c r="B31" s="4" t="s">
        <v>81</v>
      </c>
      <c r="G31" s="2" t="s">
        <v>29</v>
      </c>
      <c r="K31" s="2"/>
      <c r="L31" s="12"/>
      <c r="M31" s="2"/>
      <c r="O31" s="1">
        <v>8</v>
      </c>
      <c r="Q31" s="1">
        <v>2</v>
      </c>
      <c r="S31" s="1" t="s">
        <v>20</v>
      </c>
      <c r="T31" s="1">
        <f>$T$32</f>
        <v>31</v>
      </c>
      <c r="Z31" s="1">
        <v>380</v>
      </c>
      <c r="AD31" s="31" t="str">
        <f t="shared" si="0"/>
        <v>作者:领取成功后，弹出领取对话1</v>
      </c>
    </row>
    <row r="32" spans="1:30">
      <c r="A32" s="28">
        <v>31</v>
      </c>
      <c r="C32" s="1">
        <v>1</v>
      </c>
      <c r="D32" s="5">
        <v>0</v>
      </c>
      <c r="E32" s="7" t="s">
        <v>169</v>
      </c>
      <c r="H32" s="1"/>
      <c r="I32" s="15"/>
      <c r="J32" s="15"/>
      <c r="K32" s="15"/>
      <c r="L32" s="19" t="s">
        <v>169</v>
      </c>
      <c r="M32" s="3" t="s">
        <v>71</v>
      </c>
      <c r="N32" s="1" t="s">
        <v>126</v>
      </c>
      <c r="O32" s="1">
        <v>8</v>
      </c>
      <c r="Q32" s="1">
        <v>2</v>
      </c>
      <c r="R32" s="3">
        <v>0</v>
      </c>
      <c r="S32" s="13" t="s">
        <v>13</v>
      </c>
      <c r="T32" s="1">
        <f>表1[[#This Row],[ID]]</f>
        <v>31</v>
      </c>
      <c r="Z32" s="1">
        <v>380</v>
      </c>
      <c r="AD32" s="31" t="str">
        <f t="shared" si="0"/>
        <v>作者:图纸工厂返回主城</v>
      </c>
    </row>
    <row r="33" spans="1:30">
      <c r="A33" s="28">
        <v>32</v>
      </c>
      <c r="B33" s="4" t="s">
        <v>82</v>
      </c>
      <c r="E33" s="15"/>
      <c r="F33" s="15"/>
      <c r="G33" s="15" t="s">
        <v>28</v>
      </c>
      <c r="H33" s="15"/>
      <c r="I33" s="15"/>
      <c r="J33" s="15"/>
      <c r="K33" s="15"/>
      <c r="L33" s="15"/>
      <c r="M33" s="15"/>
      <c r="O33" s="1">
        <v>1</v>
      </c>
      <c r="Q33" s="1">
        <v>2</v>
      </c>
      <c r="S33" s="1" t="s">
        <v>20</v>
      </c>
      <c r="Z33" s="1" t="s">
        <v>213</v>
      </c>
      <c r="AD33" s="31" t="str">
        <f t="shared" si="0"/>
        <v>作者:弹出舰队机库介绍</v>
      </c>
    </row>
    <row r="34" spans="1:30">
      <c r="A34" s="28">
        <v>33</v>
      </c>
      <c r="C34" s="1">
        <v>1</v>
      </c>
      <c r="D34" s="1">
        <v>0</v>
      </c>
      <c r="E34" s="2" t="s">
        <v>171</v>
      </c>
      <c r="H34" s="1"/>
      <c r="I34" s="14"/>
      <c r="J34" s="14"/>
      <c r="K34" s="14"/>
      <c r="L34" s="2" t="s">
        <v>171</v>
      </c>
      <c r="M34" s="2" t="s">
        <v>131</v>
      </c>
      <c r="N34" s="1" t="s">
        <v>156</v>
      </c>
      <c r="O34" s="1">
        <v>1</v>
      </c>
      <c r="P34" s="1">
        <v>2</v>
      </c>
      <c r="Q34" s="1">
        <v>2</v>
      </c>
      <c r="R34" s="3">
        <v>0</v>
      </c>
      <c r="S34" s="13" t="s">
        <v>37</v>
      </c>
      <c r="Z34" s="1" t="s">
        <v>213</v>
      </c>
      <c r="AD34" s="31" t="str">
        <f t="shared" si="0"/>
        <v>作者:选择舰队机库</v>
      </c>
    </row>
    <row r="35" spans="1:30">
      <c r="A35" s="28">
        <v>34</v>
      </c>
      <c r="C35" s="1">
        <v>1</v>
      </c>
      <c r="D35" s="1">
        <v>0</v>
      </c>
      <c r="E35" s="2" t="s">
        <v>150</v>
      </c>
      <c r="F35" s="16"/>
      <c r="G35" s="16"/>
      <c r="H35" s="16"/>
      <c r="I35" s="14"/>
      <c r="J35" s="14"/>
      <c r="K35" s="14"/>
      <c r="L35" s="2" t="s">
        <v>150</v>
      </c>
      <c r="M35" s="3" t="s">
        <v>203</v>
      </c>
      <c r="O35" s="1">
        <v>6</v>
      </c>
      <c r="Q35" s="1">
        <v>2</v>
      </c>
      <c r="R35" s="3">
        <v>0</v>
      </c>
      <c r="S35" s="13" t="s">
        <v>38</v>
      </c>
      <c r="Z35" s="1" t="s">
        <v>213</v>
      </c>
      <c r="AD35" s="31" t="str">
        <f t="shared" si="0"/>
        <v>作者:选择合成飞船头像</v>
      </c>
    </row>
    <row r="36" spans="1:30">
      <c r="A36" s="28">
        <v>35</v>
      </c>
      <c r="C36" s="1">
        <v>1</v>
      </c>
      <c r="D36" s="1">
        <v>180</v>
      </c>
      <c r="E36" s="2" t="s">
        <v>160</v>
      </c>
      <c r="F36" s="14"/>
      <c r="G36" s="14"/>
      <c r="H36" s="14"/>
      <c r="I36" s="24"/>
      <c r="J36" s="24"/>
      <c r="K36" s="7"/>
      <c r="L36" s="2" t="s">
        <v>160</v>
      </c>
      <c r="M36" s="14" t="s">
        <v>205</v>
      </c>
      <c r="O36" s="1">
        <v>6</v>
      </c>
      <c r="Q36" s="1">
        <v>2</v>
      </c>
      <c r="R36" s="3" t="s">
        <v>153</v>
      </c>
      <c r="S36" s="13" t="s">
        <v>36</v>
      </c>
      <c r="Z36" s="1" t="s">
        <v>213</v>
      </c>
      <c r="AD36" s="31" t="str">
        <f t="shared" si="0"/>
        <v>作者:点击合成飞船</v>
      </c>
    </row>
    <row r="37" spans="1:30">
      <c r="A37" s="28">
        <v>36</v>
      </c>
      <c r="B37" s="4" t="s">
        <v>83</v>
      </c>
      <c r="E37" s="16"/>
      <c r="F37" s="16"/>
      <c r="G37" s="16" t="s">
        <v>28</v>
      </c>
      <c r="H37" s="16"/>
      <c r="I37" s="14"/>
      <c r="J37" s="14"/>
      <c r="K37" s="14"/>
      <c r="L37" s="14"/>
      <c r="M37" s="7"/>
      <c r="O37" s="1">
        <v>6</v>
      </c>
      <c r="Q37" s="1">
        <v>2</v>
      </c>
      <c r="S37" s="1" t="s">
        <v>20</v>
      </c>
      <c r="T37" s="1">
        <f>$T$39</f>
        <v>38</v>
      </c>
      <c r="Z37" s="1">
        <v>670</v>
      </c>
      <c r="AD37" s="31" t="str">
        <f t="shared" si="0"/>
        <v>作者:合成飞船特效播放完后，弹出剧情对话1</v>
      </c>
    </row>
    <row r="38" spans="1:30">
      <c r="A38" s="28">
        <v>37</v>
      </c>
      <c r="B38" s="4"/>
      <c r="E38" s="1"/>
      <c r="F38" s="1"/>
      <c r="G38" s="1">
        <v>2</v>
      </c>
      <c r="H38" s="1"/>
      <c r="I38" s="1"/>
      <c r="J38" s="1"/>
      <c r="K38" s="1"/>
      <c r="L38" s="12"/>
      <c r="M38" s="12"/>
      <c r="N38" s="15"/>
      <c r="O38" s="1">
        <v>6</v>
      </c>
      <c r="Q38" s="1">
        <v>2</v>
      </c>
      <c r="R38" s="1">
        <v>0</v>
      </c>
      <c r="T38" s="1">
        <f>$T$39</f>
        <v>38</v>
      </c>
      <c r="W38" s="1">
        <v>0.1</v>
      </c>
      <c r="Z38" s="1">
        <v>670</v>
      </c>
      <c r="AD38" s="31" t="str">
        <f t="shared" si="0"/>
        <v>作者:剧情对话2</v>
      </c>
    </row>
    <row r="39" spans="1:30">
      <c r="A39" s="28">
        <v>38</v>
      </c>
      <c r="C39" s="1">
        <v>1</v>
      </c>
      <c r="D39" s="1">
        <v>0</v>
      </c>
      <c r="E39" s="7" t="s">
        <v>172</v>
      </c>
      <c r="H39" s="1"/>
      <c r="I39" s="15"/>
      <c r="J39" s="15"/>
      <c r="K39" s="15"/>
      <c r="L39" s="19" t="s">
        <v>172</v>
      </c>
      <c r="M39" s="3" t="s">
        <v>71</v>
      </c>
      <c r="N39" s="1" t="s">
        <v>126</v>
      </c>
      <c r="O39" s="1">
        <v>6</v>
      </c>
      <c r="Q39" s="1">
        <v>2</v>
      </c>
      <c r="R39" s="3">
        <v>0</v>
      </c>
      <c r="S39" s="13" t="s">
        <v>13</v>
      </c>
      <c r="T39" s="1">
        <f>表1[[#This Row],[ID]]</f>
        <v>38</v>
      </c>
      <c r="Z39" s="1">
        <v>670</v>
      </c>
      <c r="AD39" s="31" t="str">
        <f t="shared" si="0"/>
        <v>作者:舰队机库返回主城</v>
      </c>
    </row>
    <row r="40" spans="1:30">
      <c r="A40" s="28">
        <v>39</v>
      </c>
      <c r="B40" s="1" t="s">
        <v>115</v>
      </c>
      <c r="G40" s="2" t="s">
        <v>109</v>
      </c>
      <c r="K40" s="2"/>
      <c r="L40" s="12"/>
      <c r="M40" s="2"/>
      <c r="O40" s="1">
        <v>1</v>
      </c>
      <c r="P40" s="1">
        <v>12</v>
      </c>
      <c r="Q40" s="1">
        <v>2</v>
      </c>
      <c r="R40" s="3">
        <v>0</v>
      </c>
      <c r="S40" s="13" t="s">
        <v>112</v>
      </c>
      <c r="V40" s="1">
        <v>1</v>
      </c>
      <c r="Z40" s="1" t="s">
        <v>213</v>
      </c>
      <c r="AD40" s="31" t="str">
        <f t="shared" si="0"/>
        <v>作者:设置防御介绍</v>
      </c>
    </row>
    <row r="41" spans="1:30">
      <c r="A41" s="28">
        <v>40</v>
      </c>
      <c r="C41" s="1">
        <v>1</v>
      </c>
      <c r="D41" s="1">
        <v>0</v>
      </c>
      <c r="E41" s="16" t="s">
        <v>174</v>
      </c>
      <c r="H41" s="2" t="s">
        <v>19</v>
      </c>
      <c r="I41" s="1"/>
      <c r="J41" s="1"/>
      <c r="K41" s="1"/>
      <c r="L41" s="16" t="s">
        <v>174</v>
      </c>
      <c r="M41" s="2" t="s">
        <v>131</v>
      </c>
      <c r="N41" s="1" t="s">
        <v>173</v>
      </c>
      <c r="O41" s="1">
        <v>1</v>
      </c>
      <c r="Q41" s="1">
        <v>2</v>
      </c>
      <c r="R41" s="3">
        <v>0</v>
      </c>
      <c r="S41" s="13" t="s">
        <v>64</v>
      </c>
      <c r="V41" s="1">
        <v>1</v>
      </c>
      <c r="Z41" s="1" t="s">
        <v>213</v>
      </c>
      <c r="AD41" s="31" t="str">
        <f t="shared" si="0"/>
        <v>作者:点击炮台</v>
      </c>
    </row>
    <row r="42" spans="1:30">
      <c r="A42" s="28">
        <v>41</v>
      </c>
      <c r="C42" s="1">
        <v>1</v>
      </c>
      <c r="D42" s="1">
        <v>0</v>
      </c>
      <c r="E42" s="3" t="s">
        <v>185</v>
      </c>
      <c r="F42" s="7"/>
      <c r="G42" s="7"/>
      <c r="H42" s="7"/>
      <c r="I42" s="15"/>
      <c r="J42" s="15"/>
      <c r="K42" s="15"/>
      <c r="L42" s="3" t="s">
        <v>185</v>
      </c>
      <c r="M42" s="3" t="s">
        <v>138</v>
      </c>
      <c r="N42" s="1" t="s">
        <v>173</v>
      </c>
      <c r="O42" s="1">
        <v>1</v>
      </c>
      <c r="Q42" s="1">
        <v>2</v>
      </c>
      <c r="R42" s="3">
        <v>0</v>
      </c>
      <c r="S42" s="13" t="s">
        <v>62</v>
      </c>
      <c r="V42" s="1">
        <v>1</v>
      </c>
      <c r="Z42" s="1" t="s">
        <v>213</v>
      </c>
      <c r="AD42" s="31" t="str">
        <f t="shared" si="0"/>
        <v>作者:点击炮台建筑功能</v>
      </c>
    </row>
    <row r="43" spans="1:30">
      <c r="A43" s="28">
        <v>42</v>
      </c>
      <c r="C43" s="1">
        <v>1</v>
      </c>
      <c r="D43" s="1">
        <v>0</v>
      </c>
      <c r="E43" s="3" t="s">
        <v>73</v>
      </c>
      <c r="F43" s="1"/>
      <c r="G43" s="1"/>
      <c r="H43" s="1"/>
      <c r="I43" s="1"/>
      <c r="J43" s="1"/>
      <c r="K43" s="1"/>
      <c r="L43" s="3" t="s">
        <v>73</v>
      </c>
      <c r="M43" s="2" t="s">
        <v>69</v>
      </c>
      <c r="N43" s="15"/>
      <c r="O43" s="1">
        <v>1</v>
      </c>
      <c r="Q43" s="1">
        <v>2</v>
      </c>
      <c r="R43" s="3">
        <v>0</v>
      </c>
      <c r="S43" s="13" t="s">
        <v>62</v>
      </c>
      <c r="V43" s="1">
        <v>1</v>
      </c>
      <c r="Z43" s="1" t="s">
        <v>213</v>
      </c>
      <c r="AD43" s="31" t="str">
        <f t="shared" si="0"/>
        <v>作者:点击上阵飞船</v>
      </c>
    </row>
    <row r="44" spans="1:30">
      <c r="A44" s="28">
        <v>43</v>
      </c>
      <c r="B44" s="4" t="s">
        <v>116</v>
      </c>
      <c r="D44" s="13"/>
      <c r="E44" s="12"/>
      <c r="F44" s="12"/>
      <c r="G44" s="12" t="s">
        <v>109</v>
      </c>
      <c r="H44" s="12"/>
      <c r="I44" s="12"/>
      <c r="J44" s="12"/>
      <c r="L44" s="12"/>
      <c r="M44" s="12"/>
      <c r="N44" s="13"/>
      <c r="O44" s="1">
        <v>20</v>
      </c>
      <c r="Q44" s="1">
        <v>2</v>
      </c>
      <c r="S44" s="1" t="s">
        <v>112</v>
      </c>
      <c r="V44" s="1">
        <v>1</v>
      </c>
      <c r="Z44" s="1" t="s">
        <v>213</v>
      </c>
      <c r="AD44" s="31" t="str">
        <f t="shared" si="0"/>
        <v>作者:布阵界面介绍</v>
      </c>
    </row>
    <row r="45" spans="1:30">
      <c r="A45" s="28">
        <v>44</v>
      </c>
      <c r="K45" s="2"/>
      <c r="L45" s="12"/>
      <c r="M45" s="2"/>
      <c r="N45" s="13"/>
      <c r="O45" s="1">
        <v>20</v>
      </c>
      <c r="Q45" s="1">
        <v>2</v>
      </c>
      <c r="R45" s="3">
        <v>0</v>
      </c>
      <c r="S45" s="13"/>
      <c r="V45" s="1">
        <v>1</v>
      </c>
      <c r="Z45" s="1" t="s">
        <v>213</v>
      </c>
      <c r="AD45" s="31" t="str">
        <f t="shared" si="0"/>
        <v>作者:引导飞船1拖动动画</v>
      </c>
    </row>
    <row r="46" spans="1:30">
      <c r="A46" s="28">
        <v>45</v>
      </c>
      <c r="C46" s="1">
        <v>1</v>
      </c>
      <c r="D46" s="13">
        <v>0</v>
      </c>
      <c r="E46" s="6" t="s">
        <v>186</v>
      </c>
      <c r="F46" s="12"/>
      <c r="G46" s="12"/>
      <c r="H46" s="12"/>
      <c r="I46" s="12"/>
      <c r="J46" s="12"/>
      <c r="L46" s="6" t="s">
        <v>186</v>
      </c>
      <c r="M46" s="12" t="s">
        <v>69</v>
      </c>
      <c r="N46" s="13" t="s">
        <v>30</v>
      </c>
      <c r="O46" s="1">
        <v>20</v>
      </c>
      <c r="Q46" s="1">
        <v>2</v>
      </c>
      <c r="R46" s="3">
        <v>0</v>
      </c>
      <c r="S46" s="13" t="s">
        <v>13</v>
      </c>
      <c r="V46" s="1">
        <v>1</v>
      </c>
      <c r="Z46" s="1" t="s">
        <v>213</v>
      </c>
      <c r="AD46" s="31" t="str">
        <f t="shared" si="0"/>
        <v>作者:点击确定</v>
      </c>
    </row>
    <row r="47" spans="1:30">
      <c r="A47" s="28">
        <v>46</v>
      </c>
      <c r="B47" s="4" t="s">
        <v>84</v>
      </c>
      <c r="D47" s="13"/>
      <c r="E47" s="12"/>
      <c r="F47" s="12"/>
      <c r="G47" s="12" t="s">
        <v>28</v>
      </c>
      <c r="H47" s="12"/>
      <c r="I47" s="12"/>
      <c r="J47" s="12"/>
      <c r="L47" s="12"/>
      <c r="M47" s="12"/>
      <c r="N47" s="13"/>
      <c r="O47" s="1">
        <v>1</v>
      </c>
      <c r="Q47" s="1">
        <v>2</v>
      </c>
      <c r="S47" s="1" t="s">
        <v>20</v>
      </c>
      <c r="T47" s="1">
        <f>表1[[#This Row],[ID]]</f>
        <v>46</v>
      </c>
      <c r="V47" s="1">
        <v>1</v>
      </c>
      <c r="Z47" s="1">
        <v>670</v>
      </c>
      <c r="AD47" s="31" t="str">
        <f t="shared" si="0"/>
        <v>作者:上阵飞船介绍</v>
      </c>
    </row>
    <row r="48" spans="1:30">
      <c r="A48" s="28">
        <v>47</v>
      </c>
      <c r="D48" s="13"/>
      <c r="E48" s="12" t="s">
        <v>130</v>
      </c>
      <c r="F48" s="12"/>
      <c r="G48" s="12"/>
      <c r="H48" s="12"/>
      <c r="I48" s="12"/>
      <c r="J48" s="12"/>
      <c r="L48" s="12"/>
      <c r="M48" s="12"/>
      <c r="N48" s="13"/>
      <c r="O48" s="1">
        <v>1</v>
      </c>
      <c r="P48" s="1">
        <v>1</v>
      </c>
      <c r="Q48" s="1">
        <v>2</v>
      </c>
      <c r="R48" s="3">
        <v>0</v>
      </c>
      <c r="S48" s="13"/>
      <c r="X48" s="1" t="s">
        <v>45</v>
      </c>
      <c r="Z48" s="1" t="s">
        <v>213</v>
      </c>
      <c r="AD48" s="31" t="str">
        <f t="shared" si="0"/>
        <v>作者:播放序列帧动画</v>
      </c>
    </row>
    <row r="49" spans="1:30">
      <c r="A49" s="28">
        <v>48</v>
      </c>
      <c r="B49" s="1" t="s">
        <v>144</v>
      </c>
      <c r="D49" s="13"/>
      <c r="E49" s="12"/>
      <c r="F49" s="12"/>
      <c r="G49" s="12" t="s">
        <v>146</v>
      </c>
      <c r="H49" s="12"/>
      <c r="I49" s="12"/>
      <c r="J49" s="12"/>
      <c r="L49" s="12"/>
      <c r="M49" s="12"/>
      <c r="N49" s="13"/>
      <c r="O49" s="1">
        <v>19</v>
      </c>
      <c r="Q49" s="1">
        <v>2</v>
      </c>
      <c r="R49" s="3"/>
      <c r="S49" s="13" t="s">
        <v>145</v>
      </c>
      <c r="Z49" s="1" t="s">
        <v>213</v>
      </c>
      <c r="AD49" s="31" t="str">
        <f t="shared" si="0"/>
        <v>作者:释放大技能提示对话</v>
      </c>
    </row>
    <row r="50" spans="1:30">
      <c r="A50" s="28">
        <v>49</v>
      </c>
      <c r="C50" s="1">
        <v>1</v>
      </c>
      <c r="D50" s="13">
        <v>0</v>
      </c>
      <c r="E50" s="2" t="s">
        <v>175</v>
      </c>
      <c r="F50" s="12"/>
      <c r="G50" s="12"/>
      <c r="H50" s="12"/>
      <c r="I50" s="12"/>
      <c r="J50" s="12"/>
      <c r="L50" s="2" t="s">
        <v>175</v>
      </c>
      <c r="M50" s="3" t="s">
        <v>74</v>
      </c>
      <c r="N50" s="1" t="s">
        <v>30</v>
      </c>
      <c r="O50" s="1">
        <v>19</v>
      </c>
      <c r="Q50" s="1">
        <v>2</v>
      </c>
      <c r="R50" s="3">
        <v>0</v>
      </c>
      <c r="S50" s="13" t="s">
        <v>46</v>
      </c>
      <c r="Z50" s="1" t="s">
        <v>213</v>
      </c>
      <c r="AD50" s="31" t="str">
        <f t="shared" si="0"/>
        <v>作者:怒气达到释放大技能时，点击飞船头像</v>
      </c>
    </row>
    <row r="51" spans="1:30">
      <c r="A51" s="28">
        <v>50</v>
      </c>
      <c r="B51" s="4" t="s">
        <v>85</v>
      </c>
      <c r="D51" s="13"/>
      <c r="E51" s="12"/>
      <c r="F51" s="12"/>
      <c r="G51" s="12" t="s">
        <v>125</v>
      </c>
      <c r="H51" s="12"/>
      <c r="I51" s="12"/>
      <c r="J51" s="12"/>
      <c r="L51" s="12"/>
      <c r="M51" s="12"/>
      <c r="N51" s="13"/>
      <c r="O51" s="1">
        <v>24</v>
      </c>
      <c r="Q51" s="1">
        <v>2</v>
      </c>
      <c r="S51" s="1" t="s">
        <v>20</v>
      </c>
      <c r="T51" s="1">
        <f>$T$53</f>
        <v>52</v>
      </c>
      <c r="Z51" s="1">
        <v>670</v>
      </c>
      <c r="AD51" s="31" t="str">
        <f t="shared" si="0"/>
        <v>作者:战斗结束剧情对话1</v>
      </c>
    </row>
    <row r="52" spans="1:30">
      <c r="A52" s="28">
        <v>51</v>
      </c>
      <c r="B52" s="4" t="s">
        <v>86</v>
      </c>
      <c r="D52" s="13"/>
      <c r="E52" s="14"/>
      <c r="F52" s="12"/>
      <c r="G52" s="12" t="s">
        <v>28</v>
      </c>
      <c r="H52" s="12"/>
      <c r="I52" s="12"/>
      <c r="J52" s="12"/>
      <c r="L52" s="14"/>
      <c r="M52" s="14"/>
      <c r="N52" s="13"/>
      <c r="O52" s="1">
        <v>24</v>
      </c>
      <c r="Q52" s="1">
        <v>2</v>
      </c>
      <c r="S52" s="1" t="s">
        <v>20</v>
      </c>
      <c r="T52" s="1">
        <f>$T$53</f>
        <v>52</v>
      </c>
      <c r="Z52" s="1">
        <v>670</v>
      </c>
      <c r="AD52" s="31" t="str">
        <f t="shared" si="0"/>
        <v>作者:战斗结束剧情对话2</v>
      </c>
    </row>
    <row r="53" spans="1:30">
      <c r="A53" s="28">
        <v>52</v>
      </c>
      <c r="C53" s="1">
        <v>1</v>
      </c>
      <c r="D53" s="13">
        <v>180</v>
      </c>
      <c r="E53" s="2" t="s">
        <v>76</v>
      </c>
      <c r="F53" s="12"/>
      <c r="G53" s="12"/>
      <c r="H53" s="12"/>
      <c r="I53" s="12"/>
      <c r="J53" s="12"/>
      <c r="L53" s="2" t="s">
        <v>76</v>
      </c>
      <c r="M53" s="2" t="s">
        <v>75</v>
      </c>
      <c r="O53" s="1">
        <v>5</v>
      </c>
      <c r="Q53" s="1">
        <v>2</v>
      </c>
      <c r="R53" s="3">
        <v>0</v>
      </c>
      <c r="S53" s="13" t="s">
        <v>13</v>
      </c>
      <c r="T53" s="1">
        <f>表1[[#This Row],[ID]]</f>
        <v>52</v>
      </c>
      <c r="Z53" s="1">
        <v>670</v>
      </c>
      <c r="AD53" s="31" t="str">
        <f t="shared" si="0"/>
        <v>作者:点击退出。返回主城</v>
      </c>
    </row>
    <row r="54" spans="1:30">
      <c r="A54" s="28">
        <v>53</v>
      </c>
      <c r="B54" s="4" t="s">
        <v>87</v>
      </c>
      <c r="E54" s="3"/>
      <c r="G54" s="2" t="s">
        <v>39</v>
      </c>
      <c r="K54" s="2"/>
      <c r="L54" s="14"/>
      <c r="M54" s="3"/>
      <c r="O54" s="1">
        <v>1</v>
      </c>
      <c r="Q54" s="1">
        <v>2</v>
      </c>
      <c r="S54" s="1" t="s">
        <v>48</v>
      </c>
      <c r="Z54" s="1" t="s">
        <v>213</v>
      </c>
      <c r="AD54" s="31" t="str">
        <f t="shared" si="0"/>
        <v>作者:弹出指挥中心升级介绍</v>
      </c>
    </row>
    <row r="55" spans="1:30">
      <c r="A55" s="28">
        <v>54</v>
      </c>
      <c r="C55" s="1">
        <v>1</v>
      </c>
      <c r="D55" s="1">
        <v>0</v>
      </c>
      <c r="E55" s="16" t="s">
        <v>176</v>
      </c>
      <c r="K55" s="2"/>
      <c r="L55" s="14" t="s">
        <v>176</v>
      </c>
      <c r="M55" s="2" t="s">
        <v>131</v>
      </c>
      <c r="N55" s="1" t="s">
        <v>156</v>
      </c>
      <c r="O55" s="1">
        <v>1</v>
      </c>
      <c r="P55" s="1">
        <v>1</v>
      </c>
      <c r="Q55" s="1">
        <v>2</v>
      </c>
      <c r="R55" s="1">
        <v>0</v>
      </c>
      <c r="S55" s="1" t="s">
        <v>63</v>
      </c>
      <c r="Z55" s="1" t="s">
        <v>213</v>
      </c>
      <c r="AD55" s="31" t="str">
        <f t="shared" si="0"/>
        <v>作者:点击指挥中心</v>
      </c>
    </row>
    <row r="56" spans="1:30">
      <c r="A56" s="28">
        <v>55</v>
      </c>
      <c r="C56" s="1">
        <v>1</v>
      </c>
      <c r="D56" s="1">
        <v>0</v>
      </c>
      <c r="E56" s="2" t="s">
        <v>187</v>
      </c>
      <c r="K56" s="2"/>
      <c r="L56" s="2" t="s">
        <v>187</v>
      </c>
      <c r="M56" s="3" t="s">
        <v>138</v>
      </c>
      <c r="N56" s="1" t="s">
        <v>158</v>
      </c>
      <c r="O56" s="1">
        <v>1</v>
      </c>
      <c r="Q56" s="1">
        <v>2</v>
      </c>
      <c r="R56" s="1">
        <v>0</v>
      </c>
      <c r="S56" s="1" t="s">
        <v>47</v>
      </c>
      <c r="Z56" s="1" t="s">
        <v>213</v>
      </c>
      <c r="AD56" s="31" t="str">
        <f t="shared" si="0"/>
        <v>作者:点击指挥中心升级按钮</v>
      </c>
    </row>
    <row r="57" spans="1:30">
      <c r="A57" s="28">
        <v>56</v>
      </c>
      <c r="B57" s="4" t="s">
        <v>88</v>
      </c>
      <c r="E57" s="3"/>
      <c r="G57" s="2" t="s">
        <v>40</v>
      </c>
      <c r="K57" s="2"/>
      <c r="L57" s="14"/>
      <c r="M57" s="3"/>
      <c r="O57" s="1">
        <v>7</v>
      </c>
      <c r="Q57" s="1">
        <v>2</v>
      </c>
      <c r="S57" s="1" t="s">
        <v>48</v>
      </c>
      <c r="Z57" s="1" t="s">
        <v>213</v>
      </c>
      <c r="AD57" s="31" t="str">
        <f t="shared" si="0"/>
        <v>作者:升级界面弹出对话</v>
      </c>
    </row>
    <row r="58" spans="1:30">
      <c r="A58" s="28">
        <v>57</v>
      </c>
      <c r="C58" s="1">
        <v>1</v>
      </c>
      <c r="D58" s="1">
        <v>0</v>
      </c>
      <c r="E58" s="2" t="s">
        <v>77</v>
      </c>
      <c r="K58" s="2"/>
      <c r="L58" s="2" t="s">
        <v>77</v>
      </c>
      <c r="M58" s="3" t="s">
        <v>72</v>
      </c>
      <c r="O58" s="1">
        <v>7</v>
      </c>
      <c r="Q58" s="1">
        <v>2</v>
      </c>
      <c r="R58" s="1">
        <v>0</v>
      </c>
      <c r="S58" s="1" t="s">
        <v>41</v>
      </c>
      <c r="Z58" s="1" t="s">
        <v>213</v>
      </c>
      <c r="AD58" s="31" t="str">
        <f t="shared" si="0"/>
        <v>作者:指挥中心升级界面点击升级</v>
      </c>
    </row>
    <row r="59" spans="1:30">
      <c r="A59" s="28">
        <v>58</v>
      </c>
      <c r="B59" s="1" t="s">
        <v>117</v>
      </c>
      <c r="G59" s="2" t="s">
        <v>109</v>
      </c>
      <c r="K59" s="2"/>
      <c r="M59" s="3"/>
      <c r="O59" s="1">
        <v>7</v>
      </c>
      <c r="Q59" s="1">
        <v>2</v>
      </c>
      <c r="S59" s="27" t="s">
        <v>230</v>
      </c>
      <c r="T59" s="1">
        <f>$T$61</f>
        <v>60</v>
      </c>
      <c r="Z59" s="1">
        <v>830</v>
      </c>
      <c r="AD59" s="31" t="str">
        <f t="shared" si="0"/>
        <v>作者:免费时间介绍</v>
      </c>
    </row>
    <row r="60" spans="1:30">
      <c r="A60" s="28">
        <v>59</v>
      </c>
      <c r="C60" s="1">
        <v>1</v>
      </c>
      <c r="D60" s="1">
        <v>0</v>
      </c>
      <c r="E60" s="2" t="s">
        <v>77</v>
      </c>
      <c r="K60" s="2"/>
      <c r="L60" s="2" t="s">
        <v>77</v>
      </c>
      <c r="M60" s="3" t="s">
        <v>72</v>
      </c>
      <c r="O60" s="1">
        <v>7</v>
      </c>
      <c r="Q60" s="1">
        <v>2</v>
      </c>
      <c r="R60" s="1">
        <v>0</v>
      </c>
      <c r="S60" s="1" t="s">
        <v>229</v>
      </c>
      <c r="T60" s="1">
        <f>$T$61</f>
        <v>60</v>
      </c>
      <c r="Z60" s="1">
        <v>830</v>
      </c>
      <c r="AD60" s="31" t="str">
        <f t="shared" si="0"/>
        <v>作者:点击免费</v>
      </c>
    </row>
    <row r="61" spans="1:30">
      <c r="A61" s="28">
        <v>60</v>
      </c>
      <c r="C61" s="1">
        <v>1</v>
      </c>
      <c r="D61" s="1">
        <v>0</v>
      </c>
      <c r="E61" s="19" t="s">
        <v>177</v>
      </c>
      <c r="H61" s="1"/>
      <c r="I61" s="15"/>
      <c r="J61" s="15"/>
      <c r="K61" s="15"/>
      <c r="L61" s="19" t="s">
        <v>169</v>
      </c>
      <c r="M61" s="3" t="s">
        <v>71</v>
      </c>
      <c r="N61" s="1" t="s">
        <v>126</v>
      </c>
      <c r="O61" s="1">
        <v>7</v>
      </c>
      <c r="Q61" s="1">
        <v>2</v>
      </c>
      <c r="R61" s="3">
        <v>0</v>
      </c>
      <c r="S61" s="13" t="s">
        <v>13</v>
      </c>
      <c r="T61" s="1">
        <f>表1[[#This Row],[ID]]</f>
        <v>60</v>
      </c>
      <c r="Z61" s="1">
        <v>830</v>
      </c>
      <c r="AD61" s="31" t="str">
        <f t="shared" si="0"/>
        <v>作者:升级完成特效后，点击返回</v>
      </c>
    </row>
    <row r="62" spans="1:30">
      <c r="A62" s="28">
        <v>61</v>
      </c>
      <c r="B62" s="4" t="s">
        <v>202</v>
      </c>
      <c r="E62" s="3"/>
      <c r="G62" s="2" t="s">
        <v>40</v>
      </c>
      <c r="K62" s="2"/>
      <c r="L62" s="14"/>
      <c r="M62" s="3"/>
      <c r="O62" s="1">
        <v>1</v>
      </c>
      <c r="Q62" s="1">
        <v>2</v>
      </c>
      <c r="S62" s="1" t="s">
        <v>48</v>
      </c>
      <c r="Z62" s="1" t="s">
        <v>213</v>
      </c>
      <c r="AD62" s="31" t="str">
        <f t="shared" si="0"/>
        <v>作者:剧情资格介绍</v>
      </c>
    </row>
    <row r="63" spans="1:30">
      <c r="A63" s="28">
        <v>62</v>
      </c>
      <c r="C63" s="1">
        <v>1</v>
      </c>
      <c r="D63" s="1">
        <v>0</v>
      </c>
      <c r="E63" s="16" t="s">
        <v>178</v>
      </c>
      <c r="K63" s="2"/>
      <c r="L63" s="16" t="s">
        <v>178</v>
      </c>
      <c r="M63" s="2" t="s">
        <v>152</v>
      </c>
      <c r="N63" s="1" t="s">
        <v>103</v>
      </c>
      <c r="O63" s="1">
        <v>1</v>
      </c>
      <c r="Q63" s="1">
        <v>2</v>
      </c>
      <c r="R63" s="1">
        <v>0</v>
      </c>
      <c r="S63" s="1" t="s">
        <v>147</v>
      </c>
      <c r="Z63" s="1" t="s">
        <v>213</v>
      </c>
      <c r="AD63" s="31" t="str">
        <f t="shared" si="0"/>
        <v>作者:点击任务</v>
      </c>
    </row>
    <row r="64" spans="1:30">
      <c r="A64" s="28">
        <v>63</v>
      </c>
      <c r="C64" s="1">
        <v>1</v>
      </c>
      <c r="D64" s="1">
        <v>0</v>
      </c>
      <c r="E64" s="24" t="s">
        <v>42</v>
      </c>
      <c r="K64" s="2"/>
      <c r="L64" s="24" t="s">
        <v>43</v>
      </c>
      <c r="M64" s="2" t="s">
        <v>131</v>
      </c>
      <c r="O64" s="1">
        <v>1</v>
      </c>
      <c r="Q64" s="1">
        <v>2</v>
      </c>
      <c r="R64" s="1">
        <v>0</v>
      </c>
      <c r="S64" s="1" t="s">
        <v>36</v>
      </c>
      <c r="Z64" s="1" t="s">
        <v>213</v>
      </c>
      <c r="AD64" s="31" t="str">
        <f t="shared" si="0"/>
        <v>作者:点击领取任务奖励</v>
      </c>
    </row>
    <row r="65" spans="1:30">
      <c r="A65" s="28">
        <v>64</v>
      </c>
      <c r="E65" s="3" t="s">
        <v>130</v>
      </c>
      <c r="K65" s="2"/>
      <c r="L65" s="14" t="s">
        <v>94</v>
      </c>
      <c r="M65" s="14" t="s">
        <v>95</v>
      </c>
      <c r="O65" s="1">
        <v>1</v>
      </c>
      <c r="Q65" s="1">
        <v>2</v>
      </c>
      <c r="R65" s="1">
        <v>0</v>
      </c>
      <c r="S65" s="1" t="s">
        <v>96</v>
      </c>
      <c r="T65" s="1">
        <f>$T$66</f>
        <v>65</v>
      </c>
      <c r="Z65" s="1">
        <v>830</v>
      </c>
      <c r="AD65" s="31" t="str">
        <f t="shared" si="0"/>
        <v>作者:领任务奖励动画</v>
      </c>
    </row>
    <row r="66" spans="1:30">
      <c r="A66" s="28">
        <v>65</v>
      </c>
      <c r="C66" s="1">
        <v>1</v>
      </c>
      <c r="D66" s="1">
        <v>0</v>
      </c>
      <c r="E66" s="24" t="s">
        <v>154</v>
      </c>
      <c r="K66" s="2"/>
      <c r="L66" s="24" t="s">
        <v>154</v>
      </c>
      <c r="M66" s="3" t="s">
        <v>141</v>
      </c>
      <c r="O66" s="1">
        <v>1</v>
      </c>
      <c r="Q66" s="1">
        <v>2</v>
      </c>
      <c r="R66" s="1">
        <v>0</v>
      </c>
      <c r="S66" s="1" t="s">
        <v>139</v>
      </c>
      <c r="T66" s="1">
        <f>表1[[#This Row],[ID]]</f>
        <v>65</v>
      </c>
      <c r="Z66" s="1">
        <v>830</v>
      </c>
      <c r="AD66" s="31" t="str">
        <f t="shared" si="0"/>
        <v>作者:关闭任务界面</v>
      </c>
    </row>
    <row r="67" spans="1:30">
      <c r="A67" s="28">
        <v>66</v>
      </c>
      <c r="C67" s="4">
        <v>1</v>
      </c>
      <c r="D67" s="1">
        <v>0</v>
      </c>
      <c r="E67" s="2" t="s">
        <v>181</v>
      </c>
      <c r="I67" s="1"/>
      <c r="J67" s="1"/>
      <c r="K67" s="1"/>
      <c r="L67" s="2" t="s">
        <v>181</v>
      </c>
      <c r="M67" s="2" t="s">
        <v>106</v>
      </c>
      <c r="N67" s="1" t="s">
        <v>180</v>
      </c>
      <c r="O67" s="1">
        <v>1</v>
      </c>
      <c r="P67" s="1">
        <v>9</v>
      </c>
      <c r="Q67" s="1">
        <v>2</v>
      </c>
      <c r="R67" s="3">
        <v>0</v>
      </c>
      <c r="S67" s="1" t="s">
        <v>148</v>
      </c>
      <c r="X67" s="1" t="s">
        <v>107</v>
      </c>
      <c r="Z67" s="1" t="s">
        <v>213</v>
      </c>
      <c r="AD67" s="31" t="str">
        <f t="shared" ref="AD67:AD132" si="1">Getcmt(A67)</f>
        <v>作者:点击激活副本</v>
      </c>
    </row>
    <row r="68" spans="1:30">
      <c r="A68" s="28">
        <v>67</v>
      </c>
      <c r="E68" s="2" t="s">
        <v>130</v>
      </c>
      <c r="K68" s="2"/>
      <c r="L68" s="12"/>
      <c r="M68" s="2"/>
      <c r="O68" s="1">
        <v>1</v>
      </c>
      <c r="P68" s="1">
        <v>9</v>
      </c>
      <c r="Q68" s="1">
        <v>2</v>
      </c>
      <c r="R68" s="1">
        <v>0</v>
      </c>
      <c r="S68" s="27" t="s">
        <v>142</v>
      </c>
      <c r="T68" s="1">
        <f>表1[[#This Row],[ID]]</f>
        <v>67</v>
      </c>
      <c r="W68" s="1">
        <v>2</v>
      </c>
      <c r="Z68" s="1">
        <v>830</v>
      </c>
      <c r="AD68" s="31" t="str">
        <f t="shared" si="1"/>
        <v/>
      </c>
    </row>
    <row r="69" spans="1:30">
      <c r="A69" s="28">
        <v>68</v>
      </c>
      <c r="B69" s="1" t="s">
        <v>119</v>
      </c>
      <c r="G69" s="2" t="s">
        <v>109</v>
      </c>
      <c r="K69" s="2"/>
      <c r="L69" s="12"/>
      <c r="M69" s="2"/>
      <c r="O69" s="1">
        <v>1</v>
      </c>
      <c r="Q69" s="1">
        <v>2</v>
      </c>
      <c r="S69" s="1" t="s">
        <v>112</v>
      </c>
      <c r="Z69" s="1" t="s">
        <v>213</v>
      </c>
      <c r="AD69" s="31" t="str">
        <f t="shared" si="1"/>
        <v>作者:副本介绍</v>
      </c>
    </row>
    <row r="70" spans="1:30">
      <c r="A70" s="28">
        <v>69</v>
      </c>
      <c r="B70" s="4"/>
      <c r="C70" s="1">
        <v>1</v>
      </c>
      <c r="D70" s="1">
        <v>0</v>
      </c>
      <c r="E70" s="2" t="s">
        <v>182</v>
      </c>
      <c r="K70" s="2"/>
      <c r="L70" s="2" t="s">
        <v>182</v>
      </c>
      <c r="M70" s="2" t="s">
        <v>106</v>
      </c>
      <c r="N70" s="1" t="s">
        <v>180</v>
      </c>
      <c r="O70" s="1">
        <v>1</v>
      </c>
      <c r="P70" s="1">
        <v>9</v>
      </c>
      <c r="Q70" s="1">
        <v>2</v>
      </c>
      <c r="R70" s="1">
        <v>0</v>
      </c>
      <c r="S70" s="1" t="s">
        <v>108</v>
      </c>
      <c r="Z70" s="1" t="s">
        <v>213</v>
      </c>
      <c r="AD70" s="31" t="str">
        <f t="shared" si="1"/>
        <v>作者:点击副本</v>
      </c>
    </row>
    <row r="71" spans="1:30">
      <c r="A71" s="28">
        <v>70</v>
      </c>
      <c r="C71" s="1">
        <v>1</v>
      </c>
      <c r="D71" s="1">
        <v>0</v>
      </c>
      <c r="E71" s="2" t="s">
        <v>183</v>
      </c>
      <c r="K71" s="2"/>
      <c r="L71" s="2" t="s">
        <v>183</v>
      </c>
      <c r="M71" s="2" t="s">
        <v>101</v>
      </c>
      <c r="N71" s="1" t="s">
        <v>159</v>
      </c>
      <c r="O71" s="1">
        <v>2</v>
      </c>
      <c r="Q71" s="1">
        <v>2</v>
      </c>
      <c r="R71" s="1">
        <v>0</v>
      </c>
      <c r="S71" s="1" t="s">
        <v>105</v>
      </c>
      <c r="Z71" s="1" t="s">
        <v>213</v>
      </c>
      <c r="AD71" s="31" t="str">
        <f t="shared" si="1"/>
        <v>作者:点击章节</v>
      </c>
    </row>
    <row r="72" spans="1:30">
      <c r="A72" s="28">
        <v>71</v>
      </c>
      <c r="C72" s="1">
        <v>1</v>
      </c>
      <c r="D72" s="1">
        <v>0</v>
      </c>
      <c r="E72" s="2" t="s">
        <v>100</v>
      </c>
      <c r="K72" s="2"/>
      <c r="L72" s="2" t="s">
        <v>100</v>
      </c>
      <c r="M72" s="2" t="s">
        <v>269</v>
      </c>
      <c r="O72" s="1">
        <v>3</v>
      </c>
      <c r="Q72" s="1">
        <v>2</v>
      </c>
      <c r="R72" s="1">
        <v>0</v>
      </c>
      <c r="S72" s="1" t="s">
        <v>104</v>
      </c>
      <c r="Z72" s="1" t="s">
        <v>213</v>
      </c>
      <c r="AD72" s="31" t="str">
        <f t="shared" si="1"/>
        <v>作者:点击关卡</v>
      </c>
    </row>
    <row r="73" spans="1:30">
      <c r="A73" s="28">
        <v>72</v>
      </c>
      <c r="B73" s="4"/>
      <c r="C73" s="4">
        <v>1</v>
      </c>
      <c r="D73" s="1">
        <v>0</v>
      </c>
      <c r="E73" s="2" t="s">
        <v>243</v>
      </c>
      <c r="I73" s="1"/>
      <c r="J73" s="1"/>
      <c r="K73" s="1"/>
      <c r="L73" s="2" t="s">
        <v>243</v>
      </c>
      <c r="M73" s="2" t="s">
        <v>270</v>
      </c>
      <c r="O73" s="1">
        <v>3</v>
      </c>
      <c r="Q73" s="1">
        <v>2</v>
      </c>
      <c r="R73" s="3">
        <v>0</v>
      </c>
      <c r="S73" s="1" t="s">
        <v>105</v>
      </c>
      <c r="Z73" s="1" t="s">
        <v>213</v>
      </c>
      <c r="AD73" s="31" t="str">
        <f t="shared" si="1"/>
        <v>作者:确定进入</v>
      </c>
    </row>
    <row r="74" spans="1:30">
      <c r="A74" s="28">
        <v>73</v>
      </c>
      <c r="C74" s="1">
        <v>1</v>
      </c>
      <c r="D74" s="1">
        <v>0</v>
      </c>
      <c r="E74" s="3" t="s">
        <v>245</v>
      </c>
      <c r="L74" s="3" t="s">
        <v>245</v>
      </c>
      <c r="M74" s="3" t="s">
        <v>207</v>
      </c>
      <c r="N74" s="1" t="s">
        <v>209</v>
      </c>
      <c r="O74" s="1">
        <v>4</v>
      </c>
      <c r="Q74" s="1">
        <v>2</v>
      </c>
      <c r="R74" s="1">
        <v>0</v>
      </c>
      <c r="S74" s="1" t="s">
        <v>139</v>
      </c>
      <c r="Z74" s="1" t="s">
        <v>213</v>
      </c>
      <c r="AD74" s="31" t="str">
        <f t="shared" si="1"/>
        <v>作者:进入战斗</v>
      </c>
    </row>
    <row r="75" spans="1:30">
      <c r="A75" s="28">
        <v>74</v>
      </c>
      <c r="C75" s="1">
        <v>1</v>
      </c>
      <c r="D75" s="13">
        <v>180</v>
      </c>
      <c r="E75" s="2" t="s">
        <v>76</v>
      </c>
      <c r="F75" s="12"/>
      <c r="G75" s="12"/>
      <c r="H75" s="12"/>
      <c r="I75" s="12"/>
      <c r="J75" s="12"/>
      <c r="L75" s="2" t="s">
        <v>76</v>
      </c>
      <c r="M75" s="2" t="s">
        <v>69</v>
      </c>
      <c r="O75" s="1">
        <v>5</v>
      </c>
      <c r="Q75" s="1">
        <v>2</v>
      </c>
      <c r="R75" s="3">
        <v>0</v>
      </c>
      <c r="S75" s="13" t="s">
        <v>13</v>
      </c>
      <c r="Z75" s="1" t="s">
        <v>213</v>
      </c>
      <c r="AD75" s="31" t="str">
        <f t="shared" si="1"/>
        <v>作者:战斗结束，点击退出</v>
      </c>
    </row>
    <row r="76" spans="1:30">
      <c r="A76" s="28">
        <v>75</v>
      </c>
      <c r="C76" s="1">
        <v>1</v>
      </c>
      <c r="D76" s="13">
        <v>0</v>
      </c>
      <c r="E76" s="3" t="s">
        <v>211</v>
      </c>
      <c r="F76" s="12"/>
      <c r="G76" s="12"/>
      <c r="H76" s="12"/>
      <c r="I76" s="12"/>
      <c r="J76" s="12"/>
      <c r="L76" s="3" t="s">
        <v>211</v>
      </c>
      <c r="M76" s="3" t="s">
        <v>269</v>
      </c>
      <c r="O76" s="1">
        <v>3</v>
      </c>
      <c r="Q76" s="1">
        <v>2</v>
      </c>
      <c r="R76" s="30">
        <v>0</v>
      </c>
      <c r="S76" s="13" t="s">
        <v>212</v>
      </c>
      <c r="Z76" s="1" t="s">
        <v>213</v>
      </c>
      <c r="AD76" s="31" t="str">
        <f t="shared" si="1"/>
        <v>作者:点击第二关关卡</v>
      </c>
    </row>
    <row r="77" spans="1:30">
      <c r="A77" s="28">
        <v>76</v>
      </c>
      <c r="B77" s="4"/>
      <c r="C77" s="4">
        <v>1</v>
      </c>
      <c r="D77" s="1">
        <v>0</v>
      </c>
      <c r="E77" s="2" t="s">
        <v>243</v>
      </c>
      <c r="I77" s="1"/>
      <c r="J77" s="1"/>
      <c r="K77" s="1"/>
      <c r="L77" s="2" t="s">
        <v>243</v>
      </c>
      <c r="M77" s="2" t="s">
        <v>270</v>
      </c>
      <c r="O77" s="1">
        <v>3</v>
      </c>
      <c r="Q77" s="1">
        <v>2</v>
      </c>
      <c r="R77" s="3">
        <v>0</v>
      </c>
      <c r="S77" s="1" t="s">
        <v>62</v>
      </c>
      <c r="Z77" s="1" t="s">
        <v>213</v>
      </c>
      <c r="AD77" s="31" t="str">
        <f t="shared" si="1"/>
        <v>作者:确定进入</v>
      </c>
    </row>
    <row r="78" spans="1:30">
      <c r="A78" s="28">
        <v>77</v>
      </c>
      <c r="C78" s="1">
        <v>1</v>
      </c>
      <c r="D78" s="1">
        <v>0</v>
      </c>
      <c r="E78" s="3" t="s">
        <v>245</v>
      </c>
      <c r="L78" s="3" t="s">
        <v>245</v>
      </c>
      <c r="M78" s="3" t="s">
        <v>140</v>
      </c>
      <c r="N78" s="1" t="s">
        <v>30</v>
      </c>
      <c r="O78" s="1">
        <v>4</v>
      </c>
      <c r="Q78" s="1">
        <v>2</v>
      </c>
      <c r="R78" s="1">
        <v>0</v>
      </c>
      <c r="S78" s="1" t="s">
        <v>62</v>
      </c>
      <c r="Z78" s="1" t="s">
        <v>213</v>
      </c>
      <c r="AD78" s="31" t="str">
        <f t="shared" si="1"/>
        <v>作者:进入战斗</v>
      </c>
    </row>
    <row r="79" spans="1:30">
      <c r="A79" s="32">
        <v>78</v>
      </c>
      <c r="C79" s="1">
        <v>1</v>
      </c>
      <c r="D79" s="13">
        <v>180</v>
      </c>
      <c r="E79" s="3" t="s">
        <v>266</v>
      </c>
      <c r="F79" s="12"/>
      <c r="G79" s="12"/>
      <c r="H79" s="12"/>
      <c r="I79" s="12"/>
      <c r="J79" s="12"/>
      <c r="L79" s="3" t="s">
        <v>265</v>
      </c>
      <c r="M79" s="3" t="s">
        <v>264</v>
      </c>
      <c r="N79" s="1" t="s">
        <v>263</v>
      </c>
      <c r="O79" s="1">
        <v>27</v>
      </c>
      <c r="Q79" s="1">
        <v>2</v>
      </c>
      <c r="R79" s="30">
        <v>0</v>
      </c>
      <c r="S79" s="13" t="s">
        <v>188</v>
      </c>
      <c r="Z79" s="1" t="s">
        <v>213</v>
      </c>
      <c r="AD79" s="31" t="str">
        <f t="shared" si="1"/>
        <v>作者:战斗结束，点击退出</v>
      </c>
    </row>
    <row r="80" spans="1:30">
      <c r="A80" s="28">
        <v>79</v>
      </c>
      <c r="C80" s="1">
        <v>1</v>
      </c>
      <c r="D80" s="13">
        <v>0</v>
      </c>
      <c r="E80" s="3" t="s">
        <v>191</v>
      </c>
      <c r="F80" s="12"/>
      <c r="G80" s="12"/>
      <c r="H80" s="12"/>
      <c r="I80" s="12"/>
      <c r="J80" s="12"/>
      <c r="L80" s="3" t="s">
        <v>191</v>
      </c>
      <c r="M80" s="3" t="s">
        <v>190</v>
      </c>
      <c r="N80" s="1" t="s">
        <v>189</v>
      </c>
      <c r="O80" s="1">
        <v>3</v>
      </c>
      <c r="Q80" s="1">
        <v>2</v>
      </c>
      <c r="R80" s="30">
        <v>0</v>
      </c>
      <c r="S80" s="13" t="s">
        <v>188</v>
      </c>
      <c r="Z80" s="1" t="s">
        <v>213</v>
      </c>
      <c r="AD80" s="31" t="str">
        <f t="shared" si="1"/>
        <v>作者:点击返回按钮</v>
      </c>
    </row>
    <row r="81" spans="1:30">
      <c r="A81" s="28">
        <v>80</v>
      </c>
      <c r="C81" s="1">
        <v>1</v>
      </c>
      <c r="D81" s="13">
        <v>0</v>
      </c>
      <c r="E81" s="3" t="s">
        <v>192</v>
      </c>
      <c r="F81" s="12"/>
      <c r="G81" s="12"/>
      <c r="H81" s="12"/>
      <c r="I81" s="12"/>
      <c r="J81" s="12"/>
      <c r="L81" s="3" t="s">
        <v>192</v>
      </c>
      <c r="M81" s="3" t="s">
        <v>190</v>
      </c>
      <c r="N81" s="1" t="s">
        <v>189</v>
      </c>
      <c r="O81" s="1">
        <v>2</v>
      </c>
      <c r="Q81" s="1">
        <v>2</v>
      </c>
      <c r="R81" s="30">
        <v>0</v>
      </c>
      <c r="S81" s="13" t="s">
        <v>188</v>
      </c>
      <c r="T81" s="1">
        <v>80</v>
      </c>
      <c r="Z81" s="1">
        <v>1500</v>
      </c>
      <c r="AD81" s="31" t="str">
        <f t="shared" si="1"/>
        <v>作者:点击返回按钮</v>
      </c>
    </row>
    <row r="82" spans="1:30">
      <c r="A82" s="21">
        <v>81</v>
      </c>
      <c r="B82" s="1" t="s">
        <v>193</v>
      </c>
      <c r="D82" s="13"/>
      <c r="E82" s="3"/>
      <c r="F82" s="12"/>
      <c r="G82" s="12" t="s">
        <v>201</v>
      </c>
      <c r="H82" s="12"/>
      <c r="I82" s="12"/>
      <c r="J82" s="12"/>
      <c r="L82" s="3"/>
      <c r="M82" s="3"/>
      <c r="O82" s="1">
        <v>1</v>
      </c>
      <c r="P82" s="1">
        <v>14</v>
      </c>
      <c r="Q82" s="1">
        <v>2</v>
      </c>
      <c r="R82" s="30"/>
      <c r="S82" s="13" t="s">
        <v>194</v>
      </c>
      <c r="Z82" s="1" t="s">
        <v>213</v>
      </c>
      <c r="AD82" s="31" t="str">
        <f t="shared" si="1"/>
        <v>作者:战争工坊介绍</v>
      </c>
    </row>
    <row r="83" spans="1:30">
      <c r="A83" s="21">
        <v>82</v>
      </c>
      <c r="C83" s="1">
        <v>1</v>
      </c>
      <c r="D83" s="13">
        <v>0</v>
      </c>
      <c r="E83" s="3" t="s">
        <v>176</v>
      </c>
      <c r="F83" s="12"/>
      <c r="G83" s="12"/>
      <c r="H83" s="12"/>
      <c r="I83" s="12"/>
      <c r="J83" s="12"/>
      <c r="L83" s="3" t="s">
        <v>176</v>
      </c>
      <c r="M83" s="3" t="s">
        <v>196</v>
      </c>
      <c r="N83" s="1" t="s">
        <v>155</v>
      </c>
      <c r="O83" s="1">
        <v>1</v>
      </c>
      <c r="P83" s="1">
        <v>14</v>
      </c>
      <c r="Q83" s="1">
        <v>2</v>
      </c>
      <c r="R83" s="30">
        <v>0</v>
      </c>
      <c r="S83" s="13" t="s">
        <v>218</v>
      </c>
      <c r="Z83" s="1" t="s">
        <v>213</v>
      </c>
      <c r="AD83" s="31" t="str">
        <f t="shared" si="1"/>
        <v>作者:点击战争工坊</v>
      </c>
    </row>
    <row r="84" spans="1:30">
      <c r="A84" s="21">
        <v>83</v>
      </c>
      <c r="C84" s="1">
        <v>1</v>
      </c>
      <c r="D84" s="13">
        <v>0</v>
      </c>
      <c r="E84" s="3" t="s">
        <v>197</v>
      </c>
      <c r="F84" s="12"/>
      <c r="G84" s="12"/>
      <c r="H84" s="12"/>
      <c r="I84" s="12"/>
      <c r="J84" s="12"/>
      <c r="L84" s="3" t="s">
        <v>197</v>
      </c>
      <c r="M84" s="3" t="s">
        <v>198</v>
      </c>
      <c r="N84" s="1" t="s">
        <v>195</v>
      </c>
      <c r="O84" s="1">
        <v>7</v>
      </c>
      <c r="Q84" s="1">
        <v>2</v>
      </c>
      <c r="R84" s="30">
        <v>0</v>
      </c>
      <c r="S84" s="13" t="s">
        <v>217</v>
      </c>
      <c r="Z84" s="1" t="s">
        <v>213</v>
      </c>
      <c r="AD84" s="31" t="str">
        <f t="shared" si="1"/>
        <v>作者:点击升级按钮</v>
      </c>
    </row>
    <row r="85" spans="1:30">
      <c r="A85" s="21">
        <v>84</v>
      </c>
      <c r="C85" s="1">
        <v>1</v>
      </c>
      <c r="D85" s="1">
        <v>0</v>
      </c>
      <c r="E85" s="2" t="s">
        <v>77</v>
      </c>
      <c r="K85" s="2"/>
      <c r="L85" s="2" t="s">
        <v>77</v>
      </c>
      <c r="M85" s="3" t="s">
        <v>69</v>
      </c>
      <c r="O85" s="12" t="s">
        <v>221</v>
      </c>
      <c r="P85" s="13"/>
      <c r="Q85" s="1">
        <v>2</v>
      </c>
      <c r="R85" s="30">
        <v>0</v>
      </c>
      <c r="S85" s="13" t="s">
        <v>219</v>
      </c>
      <c r="T85" s="1">
        <v>85</v>
      </c>
      <c r="Z85" s="1">
        <v>1500</v>
      </c>
      <c r="AD85" s="31" t="str">
        <f t="shared" si="1"/>
        <v>作者:战争工坊升级界面，点击升级按钮</v>
      </c>
    </row>
    <row r="86" spans="1:30">
      <c r="A86" s="21">
        <v>85</v>
      </c>
      <c r="C86" s="1">
        <v>1</v>
      </c>
      <c r="D86" s="13">
        <v>0</v>
      </c>
      <c r="E86" s="19" t="s">
        <v>169</v>
      </c>
      <c r="H86" s="1"/>
      <c r="I86" s="15"/>
      <c r="J86" s="15"/>
      <c r="K86" s="15"/>
      <c r="L86" s="19" t="s">
        <v>169</v>
      </c>
      <c r="M86" s="3" t="s">
        <v>71</v>
      </c>
      <c r="N86" s="1" t="s">
        <v>126</v>
      </c>
      <c r="O86" s="1">
        <v>7</v>
      </c>
      <c r="Q86" s="1">
        <v>2</v>
      </c>
      <c r="R86" s="30">
        <v>0</v>
      </c>
      <c r="S86" s="13" t="s">
        <v>188</v>
      </c>
      <c r="T86" s="1">
        <v>85</v>
      </c>
      <c r="Z86" s="1">
        <v>1500</v>
      </c>
      <c r="AD86" s="31" t="str">
        <f t="shared" si="1"/>
        <v>作者:点击返回按钮</v>
      </c>
    </row>
    <row r="87" spans="1:30">
      <c r="A87" s="21">
        <v>86</v>
      </c>
      <c r="C87" s="4">
        <v>1</v>
      </c>
      <c r="D87" s="1">
        <v>0</v>
      </c>
      <c r="E87" s="3" t="s">
        <v>165</v>
      </c>
      <c r="H87" s="12"/>
      <c r="I87" s="12"/>
      <c r="J87" s="12"/>
      <c r="L87" s="3" t="s">
        <v>165</v>
      </c>
      <c r="M87" s="2" t="s">
        <v>131</v>
      </c>
      <c r="N87" s="1" t="s">
        <v>155</v>
      </c>
      <c r="O87" s="1">
        <v>1</v>
      </c>
      <c r="P87" s="1">
        <v>3</v>
      </c>
      <c r="Q87" s="1">
        <v>2</v>
      </c>
      <c r="R87" s="30">
        <v>0</v>
      </c>
      <c r="S87" s="13" t="s">
        <v>199</v>
      </c>
      <c r="Z87" s="1" t="s">
        <v>213</v>
      </c>
      <c r="AD87" s="31" t="str">
        <f t="shared" si="1"/>
        <v>作者:点击舱体研发工厂</v>
      </c>
    </row>
    <row r="88" spans="1:30">
      <c r="A88" s="21">
        <v>87</v>
      </c>
      <c r="C88" s="4">
        <v>1</v>
      </c>
      <c r="D88" s="1">
        <v>0</v>
      </c>
      <c r="E88" s="2" t="s">
        <v>184</v>
      </c>
      <c r="H88" s="12"/>
      <c r="I88" s="12"/>
      <c r="J88" s="12"/>
      <c r="L88" s="2" t="s">
        <v>184</v>
      </c>
      <c r="M88" s="3" t="s">
        <v>137</v>
      </c>
      <c r="N88" s="1" t="s">
        <v>155</v>
      </c>
      <c r="O88" s="1">
        <v>1</v>
      </c>
      <c r="P88" s="1">
        <v>3</v>
      </c>
      <c r="Q88" s="1">
        <v>2</v>
      </c>
      <c r="R88" s="3">
        <v>0</v>
      </c>
      <c r="S88" s="13" t="s">
        <v>13</v>
      </c>
      <c r="Z88" s="1" t="s">
        <v>213</v>
      </c>
      <c r="AD88" s="31" t="str">
        <f t="shared" si="1"/>
        <v>作者:点击图纸研发工厂功能按钮</v>
      </c>
    </row>
    <row r="89" spans="1:30">
      <c r="A89" s="21">
        <v>88</v>
      </c>
      <c r="C89" s="1">
        <v>1</v>
      </c>
      <c r="D89" s="13">
        <v>0</v>
      </c>
      <c r="E89" s="3" t="s">
        <v>222</v>
      </c>
      <c r="F89" s="12"/>
      <c r="G89" s="12"/>
      <c r="H89" s="12"/>
      <c r="I89" s="12"/>
      <c r="J89" s="12"/>
      <c r="L89" s="3" t="s">
        <v>222</v>
      </c>
      <c r="M89" s="3" t="s">
        <v>200</v>
      </c>
      <c r="O89" s="1">
        <v>8</v>
      </c>
      <c r="Q89" s="1">
        <v>2</v>
      </c>
      <c r="R89" s="30">
        <v>0</v>
      </c>
      <c r="S89" s="13" t="s">
        <v>188</v>
      </c>
      <c r="Z89" s="1" t="s">
        <v>213</v>
      </c>
      <c r="AD89" s="31" t="str">
        <f t="shared" si="1"/>
        <v>作者:点击防御型页签</v>
      </c>
    </row>
    <row r="90" spans="1:30">
      <c r="A90" s="21">
        <v>89</v>
      </c>
      <c r="C90" s="1">
        <v>1</v>
      </c>
      <c r="D90" s="1">
        <v>180</v>
      </c>
      <c r="E90" s="2" t="s">
        <v>70</v>
      </c>
      <c r="H90" s="3"/>
      <c r="J90" s="3"/>
      <c r="K90" s="3"/>
      <c r="L90" s="2" t="s">
        <v>70</v>
      </c>
      <c r="M90" s="2" t="s">
        <v>69</v>
      </c>
      <c r="O90" s="1">
        <v>8</v>
      </c>
      <c r="Q90" s="1">
        <v>2</v>
      </c>
      <c r="R90" s="3">
        <v>0</v>
      </c>
      <c r="S90" s="13" t="s">
        <v>36</v>
      </c>
      <c r="Z90" s="1" t="s">
        <v>213</v>
      </c>
      <c r="AD90" s="31" t="str">
        <f t="shared" si="1"/>
        <v>作者:点击研发按钮</v>
      </c>
    </row>
    <row r="91" spans="1:30">
      <c r="A91" s="21">
        <v>90</v>
      </c>
      <c r="B91" s="1" t="s">
        <v>224</v>
      </c>
      <c r="E91" s="3"/>
      <c r="G91" s="2" t="s">
        <v>227</v>
      </c>
      <c r="K91" s="2"/>
      <c r="L91" s="3"/>
      <c r="M91" s="3"/>
      <c r="O91" s="1">
        <v>8</v>
      </c>
      <c r="Q91" s="1">
        <v>2</v>
      </c>
      <c r="R91" s="30"/>
      <c r="S91" s="13" t="s">
        <v>225</v>
      </c>
      <c r="Z91" s="1" t="s">
        <v>213</v>
      </c>
      <c r="AD91" s="31" t="str">
        <f t="shared" si="1"/>
        <v/>
      </c>
    </row>
    <row r="92" spans="1:30">
      <c r="A92" s="21">
        <v>91</v>
      </c>
      <c r="B92" s="1" t="s">
        <v>259</v>
      </c>
      <c r="E92" s="3"/>
      <c r="G92" s="2" t="s">
        <v>262</v>
      </c>
      <c r="K92" s="2"/>
      <c r="L92" s="3"/>
      <c r="M92" s="3"/>
      <c r="O92" s="1">
        <v>8</v>
      </c>
      <c r="Q92" s="1">
        <v>2</v>
      </c>
      <c r="R92" s="30"/>
      <c r="S92" s="13" t="s">
        <v>258</v>
      </c>
      <c r="AD92" s="31"/>
    </row>
    <row r="93" spans="1:30">
      <c r="A93" s="21">
        <v>92</v>
      </c>
      <c r="B93" s="1" t="s">
        <v>260</v>
      </c>
      <c r="E93" s="3"/>
      <c r="G93" s="2" t="s">
        <v>262</v>
      </c>
      <c r="K93" s="2"/>
      <c r="L93" s="3"/>
      <c r="M93" s="3"/>
      <c r="O93" s="1">
        <v>8</v>
      </c>
      <c r="Q93" s="1">
        <v>2</v>
      </c>
      <c r="R93" s="30"/>
      <c r="S93" s="13" t="s">
        <v>258</v>
      </c>
      <c r="AD93" s="31"/>
    </row>
    <row r="94" spans="1:30">
      <c r="A94" s="21">
        <v>93</v>
      </c>
      <c r="B94" s="1" t="s">
        <v>261</v>
      </c>
      <c r="E94" s="3"/>
      <c r="G94" s="2" t="s">
        <v>262</v>
      </c>
      <c r="K94" s="2"/>
      <c r="L94" s="3"/>
      <c r="M94" s="3"/>
      <c r="O94" s="1">
        <v>8</v>
      </c>
      <c r="Q94" s="1">
        <v>2</v>
      </c>
      <c r="R94" s="30"/>
      <c r="S94" s="13" t="s">
        <v>258</v>
      </c>
      <c r="AD94" s="31"/>
    </row>
    <row r="95" spans="1:30">
      <c r="A95" s="21">
        <v>94</v>
      </c>
      <c r="C95" s="1">
        <v>1</v>
      </c>
      <c r="D95" s="13">
        <v>0</v>
      </c>
      <c r="E95" s="3" t="s">
        <v>223</v>
      </c>
      <c r="F95" s="12"/>
      <c r="G95" s="12"/>
      <c r="H95" s="12"/>
      <c r="I95" s="12"/>
      <c r="J95" s="12"/>
      <c r="L95" s="3" t="s">
        <v>223</v>
      </c>
      <c r="M95" s="3" t="s">
        <v>232</v>
      </c>
      <c r="O95" s="1">
        <v>8</v>
      </c>
      <c r="Q95" s="1">
        <v>2</v>
      </c>
      <c r="R95" s="30">
        <v>0</v>
      </c>
      <c r="S95" s="13" t="s">
        <v>230</v>
      </c>
      <c r="T95" s="1">
        <v>95</v>
      </c>
      <c r="Z95" s="1">
        <v>1170</v>
      </c>
      <c r="AD95" s="31" t="str">
        <f t="shared" si="1"/>
        <v>作者:点击飞船领取图纸</v>
      </c>
    </row>
    <row r="96" spans="1:30">
      <c r="A96" s="21">
        <v>95</v>
      </c>
      <c r="B96" s="4" t="s">
        <v>81</v>
      </c>
      <c r="G96" s="2" t="s">
        <v>22</v>
      </c>
      <c r="K96" s="2"/>
      <c r="L96" s="12"/>
      <c r="M96" s="2"/>
      <c r="O96" s="1">
        <v>8</v>
      </c>
      <c r="Q96" s="1">
        <v>2</v>
      </c>
      <c r="S96" s="1" t="s">
        <v>20</v>
      </c>
      <c r="Z96" s="1" t="s">
        <v>213</v>
      </c>
      <c r="AD96" s="31" t="str">
        <f t="shared" si="1"/>
        <v/>
      </c>
    </row>
    <row r="97" spans="1:30">
      <c r="A97" s="21">
        <v>96</v>
      </c>
      <c r="C97" s="1">
        <v>1</v>
      </c>
      <c r="D97" s="5">
        <v>0</v>
      </c>
      <c r="E97" s="7" t="s">
        <v>169</v>
      </c>
      <c r="H97" s="1"/>
      <c r="I97" s="15"/>
      <c r="J97" s="15"/>
      <c r="K97" s="15"/>
      <c r="L97" s="19" t="s">
        <v>169</v>
      </c>
      <c r="M97" s="3" t="s">
        <v>71</v>
      </c>
      <c r="N97" s="1" t="s">
        <v>126</v>
      </c>
      <c r="O97" s="1">
        <v>8</v>
      </c>
      <c r="Q97" s="1">
        <v>2</v>
      </c>
      <c r="R97" s="3">
        <v>0</v>
      </c>
      <c r="S97" s="13" t="s">
        <v>13</v>
      </c>
      <c r="T97" s="1">
        <v>95</v>
      </c>
      <c r="Z97" s="1">
        <v>1170</v>
      </c>
      <c r="AD97" s="31" t="str">
        <f t="shared" si="1"/>
        <v>作者:点击返回按钮</v>
      </c>
    </row>
    <row r="98" spans="1:30">
      <c r="A98" s="21">
        <v>97</v>
      </c>
      <c r="C98" s="1">
        <v>1</v>
      </c>
      <c r="D98" s="1">
        <v>0</v>
      </c>
      <c r="E98" s="2" t="s">
        <v>171</v>
      </c>
      <c r="H98" s="1"/>
      <c r="I98" s="14"/>
      <c r="J98" s="14"/>
      <c r="K98" s="14"/>
      <c r="L98" s="2" t="s">
        <v>171</v>
      </c>
      <c r="M98" s="2" t="s">
        <v>131</v>
      </c>
      <c r="N98" s="1" t="s">
        <v>155</v>
      </c>
      <c r="O98" s="1">
        <v>1</v>
      </c>
      <c r="P98" s="1">
        <v>2</v>
      </c>
      <c r="Q98" s="1">
        <v>2</v>
      </c>
      <c r="R98" s="3">
        <v>0</v>
      </c>
      <c r="S98" s="13" t="s">
        <v>37</v>
      </c>
      <c r="Z98" s="1" t="s">
        <v>213</v>
      </c>
      <c r="AD98" s="31" t="str">
        <f t="shared" si="1"/>
        <v>作者:点击舰队机库</v>
      </c>
    </row>
    <row r="99" spans="1:30">
      <c r="A99" s="21">
        <v>98</v>
      </c>
      <c r="C99" s="1">
        <v>1</v>
      </c>
      <c r="D99" s="1">
        <v>0</v>
      </c>
      <c r="E99" s="3" t="s">
        <v>231</v>
      </c>
      <c r="I99" s="12"/>
      <c r="J99" s="12"/>
      <c r="L99" s="3" t="s">
        <v>231</v>
      </c>
      <c r="M99" s="3" t="s">
        <v>204</v>
      </c>
      <c r="O99" s="1">
        <v>6</v>
      </c>
      <c r="Q99" s="1">
        <v>2</v>
      </c>
      <c r="R99" s="30">
        <v>0</v>
      </c>
      <c r="S99" s="13" t="s">
        <v>229</v>
      </c>
      <c r="Z99" s="1" t="s">
        <v>213</v>
      </c>
      <c r="AD99" s="31" t="str">
        <f t="shared" si="1"/>
        <v>作者:选择合成飞船头像</v>
      </c>
    </row>
    <row r="100" spans="1:30">
      <c r="A100" s="21">
        <v>99</v>
      </c>
      <c r="C100" s="1">
        <v>1</v>
      </c>
      <c r="D100" s="1">
        <v>180</v>
      </c>
      <c r="E100" s="2" t="s">
        <v>160</v>
      </c>
      <c r="F100" s="14"/>
      <c r="G100" s="14"/>
      <c r="H100" s="14"/>
      <c r="I100" s="24"/>
      <c r="J100" s="24"/>
      <c r="K100" s="7"/>
      <c r="L100" s="2" t="s">
        <v>160</v>
      </c>
      <c r="M100" s="14" t="s">
        <v>205</v>
      </c>
      <c r="O100" s="1">
        <v>6</v>
      </c>
      <c r="Q100" s="1">
        <v>2</v>
      </c>
      <c r="R100" s="3" t="s">
        <v>153</v>
      </c>
      <c r="S100" s="13" t="s">
        <v>36</v>
      </c>
      <c r="T100" s="1">
        <v>101</v>
      </c>
      <c r="Z100" s="1">
        <v>1170</v>
      </c>
      <c r="AD100" s="31" t="str">
        <f t="shared" si="1"/>
        <v>作者:点击合成飞船</v>
      </c>
    </row>
    <row r="101" spans="1:30">
      <c r="A101" s="21">
        <v>100</v>
      </c>
      <c r="B101" s="4" t="s">
        <v>83</v>
      </c>
      <c r="E101" s="16"/>
      <c r="F101" s="16"/>
      <c r="G101" s="16" t="s">
        <v>18</v>
      </c>
      <c r="H101" s="16"/>
      <c r="I101" s="14"/>
      <c r="J101" s="14"/>
      <c r="K101" s="14"/>
      <c r="L101" s="14"/>
      <c r="M101" s="7"/>
      <c r="O101" s="1">
        <v>6</v>
      </c>
      <c r="Q101" s="1">
        <v>2</v>
      </c>
      <c r="S101" s="1" t="s">
        <v>20</v>
      </c>
      <c r="Z101" s="1" t="s">
        <v>213</v>
      </c>
      <c r="AD101" s="31" t="str">
        <f t="shared" si="1"/>
        <v/>
      </c>
    </row>
    <row r="102" spans="1:30">
      <c r="A102" s="21">
        <v>101</v>
      </c>
      <c r="C102" s="1">
        <v>1</v>
      </c>
      <c r="D102" s="1">
        <v>0</v>
      </c>
      <c r="E102" s="7" t="s">
        <v>169</v>
      </c>
      <c r="H102" s="1"/>
      <c r="I102" s="15"/>
      <c r="J102" s="15"/>
      <c r="K102" s="15"/>
      <c r="L102" s="19" t="s">
        <v>169</v>
      </c>
      <c r="M102" s="3" t="s">
        <v>71</v>
      </c>
      <c r="N102" s="1" t="s">
        <v>126</v>
      </c>
      <c r="O102" s="1">
        <v>6</v>
      </c>
      <c r="Q102" s="1">
        <v>2</v>
      </c>
      <c r="R102" s="3">
        <v>0</v>
      </c>
      <c r="S102" s="13" t="s">
        <v>13</v>
      </c>
      <c r="T102" s="1">
        <v>101</v>
      </c>
      <c r="Z102" s="1">
        <v>1170</v>
      </c>
      <c r="AD102" s="31" t="str">
        <f t="shared" si="1"/>
        <v>作者:返回主城</v>
      </c>
    </row>
    <row r="103" spans="1:30">
      <c r="A103" s="21">
        <v>102</v>
      </c>
      <c r="B103" s="4"/>
      <c r="C103" s="1">
        <v>1</v>
      </c>
      <c r="D103" s="1">
        <v>0</v>
      </c>
      <c r="E103" s="2" t="s">
        <v>181</v>
      </c>
      <c r="K103" s="2"/>
      <c r="L103" s="2" t="s">
        <v>181</v>
      </c>
      <c r="M103" s="2" t="s">
        <v>106</v>
      </c>
      <c r="N103" s="1" t="s">
        <v>155</v>
      </c>
      <c r="O103" s="1">
        <v>1</v>
      </c>
      <c r="P103" s="1">
        <v>9</v>
      </c>
      <c r="Q103" s="1">
        <v>2</v>
      </c>
      <c r="R103" s="1">
        <v>0</v>
      </c>
      <c r="S103" s="1" t="s">
        <v>105</v>
      </c>
      <c r="Z103" s="1" t="s">
        <v>213</v>
      </c>
      <c r="AD103" s="31" t="str">
        <f t="shared" si="1"/>
        <v>作者:点击副本</v>
      </c>
    </row>
    <row r="104" spans="1:30">
      <c r="A104" s="21">
        <v>103</v>
      </c>
      <c r="C104" s="1">
        <v>1</v>
      </c>
      <c r="D104" s="1">
        <v>0</v>
      </c>
      <c r="E104" s="2" t="s">
        <v>183</v>
      </c>
      <c r="K104" s="2"/>
      <c r="L104" s="2" t="s">
        <v>183</v>
      </c>
      <c r="M104" s="2" t="s">
        <v>101</v>
      </c>
      <c r="N104" s="1" t="s">
        <v>155</v>
      </c>
      <c r="O104" s="1">
        <v>2</v>
      </c>
      <c r="Q104" s="1">
        <v>2</v>
      </c>
      <c r="R104" s="1">
        <v>0</v>
      </c>
      <c r="S104" s="1" t="s">
        <v>105</v>
      </c>
      <c r="Z104" s="1" t="s">
        <v>213</v>
      </c>
      <c r="AD104" s="31" t="str">
        <f t="shared" si="1"/>
        <v>作者:点击章节</v>
      </c>
    </row>
    <row r="105" spans="1:30">
      <c r="A105" s="21">
        <v>104</v>
      </c>
      <c r="C105" s="1">
        <v>1</v>
      </c>
      <c r="D105" s="13">
        <v>0</v>
      </c>
      <c r="E105" s="3" t="s">
        <v>211</v>
      </c>
      <c r="F105" s="12"/>
      <c r="G105" s="12"/>
      <c r="H105" s="12"/>
      <c r="I105" s="12"/>
      <c r="J105" s="12"/>
      <c r="L105" s="3" t="s">
        <v>211</v>
      </c>
      <c r="M105" s="3" t="s">
        <v>133</v>
      </c>
      <c r="O105" s="1">
        <v>3</v>
      </c>
      <c r="Q105" s="1">
        <v>2</v>
      </c>
      <c r="R105" s="30">
        <v>0</v>
      </c>
      <c r="S105" s="13" t="s">
        <v>20</v>
      </c>
      <c r="Z105" s="1" t="s">
        <v>213</v>
      </c>
      <c r="AD105" s="31" t="str">
        <f t="shared" si="1"/>
        <v>作者:点击第二关关卡</v>
      </c>
    </row>
    <row r="106" spans="1:30">
      <c r="A106" s="21">
        <v>105</v>
      </c>
      <c r="B106" s="4"/>
      <c r="C106" s="4">
        <v>1</v>
      </c>
      <c r="D106" s="1">
        <v>0</v>
      </c>
      <c r="E106" s="2" t="s">
        <v>243</v>
      </c>
      <c r="I106" s="1"/>
      <c r="J106" s="1"/>
      <c r="K106" s="1"/>
      <c r="L106" s="2" t="s">
        <v>243</v>
      </c>
      <c r="M106" s="2" t="s">
        <v>102</v>
      </c>
      <c r="O106" s="1">
        <v>3</v>
      </c>
      <c r="Q106" s="1">
        <v>2</v>
      </c>
      <c r="R106" s="3">
        <v>0</v>
      </c>
      <c r="S106" s="1" t="s">
        <v>62</v>
      </c>
      <c r="Z106" s="1" t="s">
        <v>213</v>
      </c>
      <c r="AD106" s="31" t="str">
        <f t="shared" si="1"/>
        <v>作者:确定进入</v>
      </c>
    </row>
    <row r="107" spans="1:30">
      <c r="A107" s="21">
        <v>106</v>
      </c>
      <c r="C107" s="1">
        <v>1</v>
      </c>
      <c r="D107" s="1">
        <v>0</v>
      </c>
      <c r="E107" s="3" t="s">
        <v>246</v>
      </c>
      <c r="I107" s="12"/>
      <c r="J107" s="12"/>
      <c r="L107" s="3" t="s">
        <v>246</v>
      </c>
      <c r="M107" s="3" t="s">
        <v>208</v>
      </c>
      <c r="N107" s="1" t="s">
        <v>210</v>
      </c>
      <c r="O107" s="1">
        <v>4</v>
      </c>
      <c r="Q107" s="1">
        <v>2</v>
      </c>
      <c r="R107" s="30">
        <v>0</v>
      </c>
      <c r="S107" s="13" t="s">
        <v>206</v>
      </c>
      <c r="Z107" s="1" t="s">
        <v>213</v>
      </c>
      <c r="AD107" s="31" t="str">
        <f t="shared" si="1"/>
        <v>作者:点击阵型</v>
      </c>
    </row>
    <row r="108" spans="1:30">
      <c r="A108" s="21">
        <v>107</v>
      </c>
      <c r="C108" s="1">
        <v>1</v>
      </c>
      <c r="D108" s="1">
        <v>0</v>
      </c>
      <c r="E108" s="2" t="s">
        <v>235</v>
      </c>
      <c r="K108" s="2"/>
      <c r="L108" s="12" t="s">
        <v>235</v>
      </c>
      <c r="M108" s="2" t="s">
        <v>233</v>
      </c>
      <c r="N108" s="13" t="s">
        <v>234</v>
      </c>
      <c r="O108" s="1">
        <v>20</v>
      </c>
      <c r="Q108" s="1">
        <v>2</v>
      </c>
      <c r="R108" s="3">
        <v>0</v>
      </c>
      <c r="S108" s="13" t="s">
        <v>226</v>
      </c>
      <c r="Z108" s="1" t="s">
        <v>213</v>
      </c>
      <c r="AD108" s="31" t="str">
        <f t="shared" si="1"/>
        <v>作者:点击最大战力按钮</v>
      </c>
    </row>
    <row r="109" spans="1:30">
      <c r="A109" s="21">
        <v>108</v>
      </c>
      <c r="C109" s="1">
        <v>1</v>
      </c>
      <c r="D109" s="1">
        <v>0</v>
      </c>
      <c r="E109" s="3" t="s">
        <v>245</v>
      </c>
      <c r="L109" s="3" t="s">
        <v>245</v>
      </c>
      <c r="M109" s="3" t="s">
        <v>207</v>
      </c>
      <c r="N109" s="1" t="s">
        <v>209</v>
      </c>
      <c r="O109" s="1">
        <v>4</v>
      </c>
      <c r="Q109" s="1">
        <v>2</v>
      </c>
      <c r="R109" s="1">
        <v>0</v>
      </c>
      <c r="S109" s="1" t="s">
        <v>105</v>
      </c>
      <c r="T109" s="1">
        <v>113</v>
      </c>
      <c r="Z109" s="1">
        <v>4000</v>
      </c>
      <c r="AD109" s="31" t="str">
        <f t="shared" si="1"/>
        <v>作者:点击进入战斗</v>
      </c>
    </row>
    <row r="110" spans="1:30">
      <c r="A110" s="21">
        <v>109</v>
      </c>
      <c r="C110" s="1">
        <v>1</v>
      </c>
      <c r="D110" s="13">
        <v>180</v>
      </c>
      <c r="E110" s="2" t="s">
        <v>76</v>
      </c>
      <c r="F110" s="12"/>
      <c r="G110" s="12"/>
      <c r="H110" s="12"/>
      <c r="I110" s="12"/>
      <c r="J110" s="12"/>
      <c r="L110" s="2" t="s">
        <v>76</v>
      </c>
      <c r="M110" s="2" t="s">
        <v>69</v>
      </c>
      <c r="O110" s="1">
        <v>5</v>
      </c>
      <c r="Q110" s="1">
        <v>2</v>
      </c>
      <c r="R110" s="3">
        <v>0</v>
      </c>
      <c r="S110" s="13" t="s">
        <v>13</v>
      </c>
      <c r="T110" s="1">
        <v>113</v>
      </c>
      <c r="Z110" s="1">
        <v>4000</v>
      </c>
      <c r="AD110" s="31" t="str">
        <f t="shared" si="1"/>
        <v>作者:战斗结束点击退出</v>
      </c>
    </row>
    <row r="111" spans="1:30">
      <c r="A111" s="21">
        <v>110</v>
      </c>
      <c r="B111" s="1" t="s">
        <v>236</v>
      </c>
      <c r="D111" s="13"/>
      <c r="E111" s="3"/>
      <c r="F111" s="12"/>
      <c r="G111" s="12" t="s">
        <v>242</v>
      </c>
      <c r="H111" s="12"/>
      <c r="I111" s="12"/>
      <c r="J111" s="12"/>
      <c r="L111" s="3"/>
      <c r="M111" s="3"/>
      <c r="O111" s="1">
        <v>3</v>
      </c>
      <c r="Q111" s="1">
        <v>2</v>
      </c>
      <c r="R111" s="13">
        <v>0</v>
      </c>
      <c r="S111" s="1" t="s">
        <v>237</v>
      </c>
      <c r="T111" s="1">
        <v>113</v>
      </c>
      <c r="Z111" s="1">
        <v>4000</v>
      </c>
      <c r="AD111" s="31" t="str">
        <f t="shared" si="1"/>
        <v>作者:领取星星提示</v>
      </c>
    </row>
    <row r="112" spans="1:30">
      <c r="A112" s="21">
        <v>111</v>
      </c>
      <c r="C112" s="1">
        <v>1</v>
      </c>
      <c r="D112" s="13">
        <v>0</v>
      </c>
      <c r="E112" s="3" t="s">
        <v>250</v>
      </c>
      <c r="F112" s="12"/>
      <c r="G112" s="12"/>
      <c r="H112" s="12"/>
      <c r="I112" s="12"/>
      <c r="J112" s="12"/>
      <c r="L112" s="3" t="s">
        <v>250</v>
      </c>
      <c r="M112" s="1" t="s">
        <v>238</v>
      </c>
      <c r="N112" s="1" t="s">
        <v>30</v>
      </c>
      <c r="O112" s="1">
        <v>3</v>
      </c>
      <c r="Q112" s="1">
        <v>2</v>
      </c>
      <c r="R112" s="13">
        <v>0</v>
      </c>
      <c r="S112" s="1" t="s">
        <v>239</v>
      </c>
      <c r="T112" s="1">
        <v>113</v>
      </c>
      <c r="Z112" s="1">
        <v>4000</v>
      </c>
      <c r="AD112" s="31" t="str">
        <f t="shared" si="1"/>
        <v>作者:点击星星</v>
      </c>
    </row>
    <row r="113" spans="1:30">
      <c r="A113" s="21">
        <v>112</v>
      </c>
      <c r="C113" s="1">
        <v>1</v>
      </c>
      <c r="D113" s="13">
        <v>0</v>
      </c>
      <c r="E113" s="3" t="s">
        <v>240</v>
      </c>
      <c r="F113" s="12"/>
      <c r="G113" s="12"/>
      <c r="H113" s="12"/>
      <c r="I113" s="12"/>
      <c r="J113" s="12"/>
      <c r="L113" s="3" t="s">
        <v>240</v>
      </c>
      <c r="M113" s="1" t="s">
        <v>241</v>
      </c>
      <c r="O113" s="1">
        <v>3</v>
      </c>
      <c r="Q113" s="1">
        <v>2</v>
      </c>
      <c r="R113" s="13">
        <v>0</v>
      </c>
      <c r="S113" s="1" t="s">
        <v>244</v>
      </c>
      <c r="T113" s="1">
        <v>113</v>
      </c>
      <c r="Z113" s="1">
        <v>4000</v>
      </c>
      <c r="AD113" s="31" t="str">
        <f t="shared" si="1"/>
        <v>作者:领取星星</v>
      </c>
    </row>
    <row r="114" spans="1:30">
      <c r="A114" s="21">
        <v>113</v>
      </c>
      <c r="C114" s="1">
        <v>1</v>
      </c>
      <c r="D114" s="13">
        <v>0</v>
      </c>
      <c r="E114" s="3" t="s">
        <v>169</v>
      </c>
      <c r="F114" s="12"/>
      <c r="G114" s="12"/>
      <c r="H114" s="12"/>
      <c r="I114" s="12"/>
      <c r="J114" s="12"/>
      <c r="L114" s="3" t="s">
        <v>169</v>
      </c>
      <c r="M114" s="3" t="s">
        <v>71</v>
      </c>
      <c r="N114" s="1" t="s">
        <v>126</v>
      </c>
      <c r="O114" s="1">
        <v>3</v>
      </c>
      <c r="Q114" s="1">
        <v>2</v>
      </c>
      <c r="R114" s="30">
        <v>0</v>
      </c>
      <c r="S114" s="13" t="s">
        <v>13</v>
      </c>
      <c r="T114" s="1">
        <v>113</v>
      </c>
      <c r="Z114" s="1">
        <v>4000</v>
      </c>
      <c r="AD114" s="31" t="str">
        <f t="shared" si="1"/>
        <v>作者:返回</v>
      </c>
    </row>
    <row r="115" spans="1:30">
      <c r="A115" s="21">
        <v>114</v>
      </c>
      <c r="C115" s="1">
        <v>1</v>
      </c>
      <c r="D115" s="13">
        <v>0</v>
      </c>
      <c r="E115" s="3" t="s">
        <v>169</v>
      </c>
      <c r="F115" s="12"/>
      <c r="G115" s="12"/>
      <c r="H115" s="12"/>
      <c r="I115" s="12"/>
      <c r="J115" s="12"/>
      <c r="L115" s="3" t="s">
        <v>169</v>
      </c>
      <c r="M115" s="3" t="s">
        <v>71</v>
      </c>
      <c r="N115" s="1" t="s">
        <v>126</v>
      </c>
      <c r="O115" s="1">
        <v>2</v>
      </c>
      <c r="Q115" s="1">
        <v>2</v>
      </c>
      <c r="R115" s="30">
        <v>0</v>
      </c>
      <c r="S115" s="13" t="s">
        <v>13</v>
      </c>
      <c r="Z115" s="1" t="s">
        <v>213</v>
      </c>
      <c r="AD115" s="31" t="str">
        <f t="shared" si="1"/>
        <v>作者:返回主界面</v>
      </c>
    </row>
    <row r="116" spans="1:30">
      <c r="A116" s="21">
        <v>115</v>
      </c>
      <c r="B116" s="4" t="s">
        <v>89</v>
      </c>
      <c r="E116" s="3"/>
      <c r="G116" s="2" t="s">
        <v>22</v>
      </c>
      <c r="K116" s="2"/>
      <c r="L116" s="14"/>
      <c r="M116" s="3"/>
      <c r="O116" s="1">
        <v>1</v>
      </c>
      <c r="Q116" s="1">
        <v>2</v>
      </c>
      <c r="S116" s="1" t="s">
        <v>20</v>
      </c>
      <c r="Z116" s="1" t="s">
        <v>213</v>
      </c>
      <c r="AD116" s="31" t="str">
        <f t="shared" si="1"/>
        <v>作者:弹出家园剧情对话1</v>
      </c>
    </row>
    <row r="117" spans="1:30">
      <c r="A117" s="21">
        <v>116</v>
      </c>
      <c r="C117" s="1">
        <v>1</v>
      </c>
      <c r="D117" s="1">
        <v>0</v>
      </c>
      <c r="E117" s="9" t="s">
        <v>248</v>
      </c>
      <c r="K117" s="2"/>
      <c r="L117" s="9" t="s">
        <v>248</v>
      </c>
      <c r="M117" s="2" t="s">
        <v>131</v>
      </c>
      <c r="N117" s="1" t="s">
        <v>247</v>
      </c>
      <c r="O117" s="1">
        <v>1</v>
      </c>
      <c r="P117" s="1">
        <v>6</v>
      </c>
      <c r="Q117" s="1">
        <v>2</v>
      </c>
      <c r="R117" s="1">
        <v>0</v>
      </c>
      <c r="S117" s="1" t="s">
        <v>13</v>
      </c>
      <c r="Z117" s="1" t="s">
        <v>213</v>
      </c>
      <c r="AD117" s="31" t="str">
        <f t="shared" si="1"/>
        <v>作者:家园出现点击家园</v>
      </c>
    </row>
    <row r="118" spans="1:30">
      <c r="A118" s="21">
        <v>117</v>
      </c>
      <c r="B118" s="4" t="s">
        <v>90</v>
      </c>
      <c r="E118" s="3"/>
      <c r="G118" s="2" t="s">
        <v>18</v>
      </c>
      <c r="K118" s="2"/>
      <c r="L118" s="14"/>
      <c r="M118" s="3"/>
      <c r="O118" s="1">
        <v>14</v>
      </c>
      <c r="Q118" s="1">
        <v>2</v>
      </c>
      <c r="S118" s="1" t="s">
        <v>20</v>
      </c>
      <c r="Z118" s="1" t="s">
        <v>213</v>
      </c>
      <c r="AD118" s="31" t="str">
        <f t="shared" si="1"/>
        <v>作者:资源矿介绍</v>
      </c>
    </row>
    <row r="119" spans="1:30">
      <c r="A119" s="21">
        <v>118</v>
      </c>
      <c r="C119" s="1">
        <v>1</v>
      </c>
      <c r="D119" s="1">
        <v>0</v>
      </c>
      <c r="E119" s="9" t="s">
        <v>134</v>
      </c>
      <c r="K119" s="2"/>
      <c r="L119" s="9" t="s">
        <v>134</v>
      </c>
      <c r="M119" s="9" t="s">
        <v>151</v>
      </c>
      <c r="O119" s="1">
        <v>14</v>
      </c>
      <c r="Q119" s="1">
        <v>2</v>
      </c>
      <c r="R119" s="1">
        <v>0</v>
      </c>
      <c r="S119" s="25" t="s">
        <v>20</v>
      </c>
      <c r="Z119" s="1" t="s">
        <v>213</v>
      </c>
      <c r="AD119" s="31" t="str">
        <f t="shared" si="1"/>
        <v>作者:点击资源田</v>
      </c>
    </row>
    <row r="120" spans="1:30">
      <c r="A120" s="21">
        <v>119</v>
      </c>
      <c r="C120" s="1">
        <v>1</v>
      </c>
      <c r="D120" s="1">
        <v>0</v>
      </c>
      <c r="E120" s="9" t="s">
        <v>121</v>
      </c>
      <c r="K120" s="2"/>
      <c r="L120" s="9" t="s">
        <v>121</v>
      </c>
      <c r="M120" s="9" t="s">
        <v>136</v>
      </c>
      <c r="O120" s="1">
        <v>14</v>
      </c>
      <c r="Q120" s="1">
        <v>2</v>
      </c>
      <c r="R120" s="1">
        <v>0</v>
      </c>
      <c r="S120" s="25" t="s">
        <v>20</v>
      </c>
      <c r="Z120" s="1" t="s">
        <v>213</v>
      </c>
      <c r="AD120" s="31" t="str">
        <f t="shared" si="1"/>
        <v>作者:选择资源矿</v>
      </c>
    </row>
    <row r="121" spans="1:30">
      <c r="A121" s="21">
        <v>120</v>
      </c>
      <c r="B121" s="1" t="s">
        <v>118</v>
      </c>
      <c r="E121" s="9"/>
      <c r="G121" s="2" t="s">
        <v>18</v>
      </c>
      <c r="K121" s="2"/>
      <c r="L121" s="9"/>
      <c r="M121" s="9"/>
      <c r="O121" s="1">
        <v>14</v>
      </c>
      <c r="Q121" s="1">
        <v>2</v>
      </c>
      <c r="S121" s="25" t="s">
        <v>20</v>
      </c>
      <c r="T121" s="1">
        <v>121</v>
      </c>
      <c r="Z121" s="1">
        <v>2250</v>
      </c>
      <c r="AD121" s="31" t="str">
        <f t="shared" si="1"/>
        <v>作者:升级资源矿介绍</v>
      </c>
    </row>
    <row r="122" spans="1:30">
      <c r="A122" s="21">
        <v>121</v>
      </c>
      <c r="C122" s="1">
        <v>1</v>
      </c>
      <c r="D122" s="1">
        <v>0</v>
      </c>
      <c r="E122" s="9" t="s">
        <v>134</v>
      </c>
      <c r="K122" s="2"/>
      <c r="L122" s="9" t="s">
        <v>134</v>
      </c>
      <c r="M122" s="9" t="s">
        <v>151</v>
      </c>
      <c r="O122" s="1">
        <v>14</v>
      </c>
      <c r="Q122" s="1">
        <v>2</v>
      </c>
      <c r="R122" s="1">
        <v>0</v>
      </c>
      <c r="S122" s="25" t="s">
        <v>20</v>
      </c>
      <c r="Z122" s="1" t="s">
        <v>213</v>
      </c>
      <c r="AD122" s="31" t="str">
        <f t="shared" si="1"/>
        <v>作者:点击资源矿</v>
      </c>
    </row>
    <row r="123" spans="1:30">
      <c r="A123" s="21">
        <v>122</v>
      </c>
      <c r="C123" s="1">
        <v>1</v>
      </c>
      <c r="D123" s="1">
        <v>180</v>
      </c>
      <c r="E123" s="9" t="s">
        <v>249</v>
      </c>
      <c r="K123" s="2"/>
      <c r="L123" s="9" t="s">
        <v>249</v>
      </c>
      <c r="M123" s="9" t="s">
        <v>135</v>
      </c>
      <c r="O123" s="1">
        <v>14</v>
      </c>
      <c r="Q123" s="1">
        <v>2</v>
      </c>
      <c r="R123" s="1">
        <v>0</v>
      </c>
      <c r="S123" s="25" t="s">
        <v>20</v>
      </c>
      <c r="Z123" s="1" t="s">
        <v>213</v>
      </c>
      <c r="AD123" s="31" t="str">
        <f t="shared" si="1"/>
        <v>作者:选择资源矿升级</v>
      </c>
    </row>
    <row r="124" spans="1:30">
      <c r="A124" s="32">
        <v>123</v>
      </c>
      <c r="C124" s="1">
        <v>1</v>
      </c>
      <c r="D124" s="1">
        <v>0</v>
      </c>
      <c r="E124" s="9" t="s">
        <v>268</v>
      </c>
      <c r="K124" s="2"/>
      <c r="L124" s="9" t="s">
        <v>268</v>
      </c>
      <c r="M124" s="9" t="s">
        <v>78</v>
      </c>
      <c r="N124" s="8" t="s">
        <v>267</v>
      </c>
      <c r="O124" s="1">
        <v>14</v>
      </c>
      <c r="Q124" s="1">
        <v>2</v>
      </c>
      <c r="R124" s="1">
        <v>0</v>
      </c>
      <c r="S124" s="25" t="s">
        <v>20</v>
      </c>
      <c r="T124" s="1">
        <v>125</v>
      </c>
      <c r="Z124" s="1">
        <v>2250</v>
      </c>
      <c r="AD124" s="31" t="str">
        <f t="shared" si="1"/>
        <v>作者:确定资源矿升级</v>
      </c>
    </row>
    <row r="125" spans="1:30">
      <c r="A125" s="21">
        <v>124</v>
      </c>
      <c r="B125" s="4" t="s">
        <v>91</v>
      </c>
      <c r="E125" s="3"/>
      <c r="G125" s="2" t="s">
        <v>18</v>
      </c>
      <c r="K125" s="2"/>
      <c r="L125" s="14"/>
      <c r="M125" s="3"/>
      <c r="O125" s="1">
        <v>14</v>
      </c>
      <c r="Q125" s="1">
        <v>2</v>
      </c>
      <c r="S125" s="1" t="s">
        <v>20</v>
      </c>
      <c r="T125" s="1">
        <v>125</v>
      </c>
      <c r="Z125" s="1">
        <v>2250</v>
      </c>
      <c r="AD125" s="31" t="str">
        <f t="shared" si="1"/>
        <v>作者:资源产出介绍</v>
      </c>
    </row>
    <row r="126" spans="1:30">
      <c r="A126" s="21">
        <v>125</v>
      </c>
      <c r="C126" s="1">
        <v>1</v>
      </c>
      <c r="D126" s="1">
        <v>0</v>
      </c>
      <c r="E126" s="19" t="s">
        <v>169</v>
      </c>
      <c r="F126" s="6"/>
      <c r="G126" s="6"/>
      <c r="H126" s="6"/>
      <c r="I126" s="20"/>
      <c r="J126" s="20"/>
      <c r="K126" s="20"/>
      <c r="L126" s="19" t="s">
        <v>169</v>
      </c>
      <c r="M126" s="3" t="s">
        <v>71</v>
      </c>
      <c r="N126" s="1" t="s">
        <v>126</v>
      </c>
      <c r="O126" s="1">
        <v>14</v>
      </c>
      <c r="Q126" s="1">
        <v>2</v>
      </c>
      <c r="R126" s="1">
        <v>0</v>
      </c>
      <c r="S126" s="1" t="s">
        <v>13</v>
      </c>
      <c r="T126" s="1">
        <f>表1[[#This Row],[ID]]</f>
        <v>125</v>
      </c>
      <c r="Z126" s="1">
        <v>2250</v>
      </c>
      <c r="AD126" s="31" t="str">
        <f t="shared" si="1"/>
        <v>作者:家园返回主城</v>
      </c>
    </row>
    <row r="127" spans="1:30">
      <c r="A127" s="21">
        <v>126</v>
      </c>
      <c r="B127" s="1" t="s">
        <v>214</v>
      </c>
      <c r="E127" s="3"/>
      <c r="G127" s="2" t="s">
        <v>216</v>
      </c>
      <c r="I127" s="12"/>
      <c r="J127" s="12"/>
      <c r="L127" s="3"/>
      <c r="M127" s="3"/>
      <c r="O127" s="1">
        <v>1</v>
      </c>
      <c r="P127" s="1">
        <v>2</v>
      </c>
      <c r="Q127" s="1">
        <v>2</v>
      </c>
      <c r="R127" s="30"/>
      <c r="S127" s="13" t="s">
        <v>215</v>
      </c>
      <c r="Z127" s="1" t="s">
        <v>213</v>
      </c>
      <c r="AD127" s="31" t="str">
        <f t="shared" si="1"/>
        <v>作者:飞船突破介绍</v>
      </c>
    </row>
    <row r="128" spans="1:30">
      <c r="A128" s="21">
        <v>127</v>
      </c>
      <c r="C128" s="1">
        <v>1</v>
      </c>
      <c r="D128" s="1">
        <v>0</v>
      </c>
      <c r="E128" s="2" t="s">
        <v>171</v>
      </c>
      <c r="H128" s="1"/>
      <c r="I128" s="14"/>
      <c r="J128" s="14"/>
      <c r="K128" s="14"/>
      <c r="L128" s="2" t="s">
        <v>171</v>
      </c>
      <c r="M128" s="2" t="s">
        <v>131</v>
      </c>
      <c r="N128" s="1" t="s">
        <v>155</v>
      </c>
      <c r="O128" s="1">
        <v>1</v>
      </c>
      <c r="P128" s="1">
        <v>2</v>
      </c>
      <c r="Q128" s="1">
        <v>2</v>
      </c>
      <c r="R128" s="3">
        <v>0</v>
      </c>
      <c r="S128" s="13" t="s">
        <v>13</v>
      </c>
      <c r="Z128" s="1" t="s">
        <v>213</v>
      </c>
      <c r="AD128" s="31" t="str">
        <f t="shared" si="1"/>
        <v>作者:点击舰队机库</v>
      </c>
    </row>
    <row r="129" spans="1:30">
      <c r="A129" s="21">
        <v>128</v>
      </c>
      <c r="C129" s="1">
        <v>1</v>
      </c>
      <c r="D129" s="1">
        <v>0</v>
      </c>
      <c r="E129" s="2" t="s">
        <v>255</v>
      </c>
      <c r="F129" s="16"/>
      <c r="G129" s="16"/>
      <c r="H129" s="16"/>
      <c r="I129" s="14"/>
      <c r="J129" s="14"/>
      <c r="K129" s="14"/>
      <c r="L129" s="2" t="s">
        <v>255</v>
      </c>
      <c r="M129" s="3" t="s">
        <v>203</v>
      </c>
      <c r="O129" s="1">
        <v>6</v>
      </c>
      <c r="Q129" s="1">
        <v>2</v>
      </c>
      <c r="R129" s="3">
        <v>0</v>
      </c>
      <c r="S129" s="13" t="s">
        <v>20</v>
      </c>
      <c r="Z129" s="1" t="s">
        <v>213</v>
      </c>
      <c r="AD129" s="31" t="str">
        <f t="shared" si="1"/>
        <v>作者:选中初始飞船</v>
      </c>
    </row>
    <row r="130" spans="1:30">
      <c r="A130" s="21">
        <v>129</v>
      </c>
      <c r="C130" s="1">
        <v>1</v>
      </c>
      <c r="D130" s="1">
        <v>180</v>
      </c>
      <c r="E130" s="2" t="s">
        <v>160</v>
      </c>
      <c r="F130" s="14"/>
      <c r="G130" s="14"/>
      <c r="H130" s="14"/>
      <c r="I130" s="24"/>
      <c r="J130" s="24"/>
      <c r="K130" s="7"/>
      <c r="L130" s="2" t="s">
        <v>160</v>
      </c>
      <c r="M130" s="14" t="s">
        <v>205</v>
      </c>
      <c r="O130" s="1">
        <v>6</v>
      </c>
      <c r="Q130" s="1">
        <v>2</v>
      </c>
      <c r="R130" s="3" t="s">
        <v>153</v>
      </c>
      <c r="S130" s="13" t="s">
        <v>220</v>
      </c>
      <c r="Z130" s="1" t="s">
        <v>213</v>
      </c>
      <c r="AD130" s="31" t="str">
        <f t="shared" si="1"/>
        <v>作者:点击详情按钮</v>
      </c>
    </row>
    <row r="131" spans="1:30">
      <c r="A131" s="21">
        <v>130</v>
      </c>
      <c r="C131" s="1">
        <v>1</v>
      </c>
      <c r="D131" s="13">
        <v>0</v>
      </c>
      <c r="E131" s="3" t="s">
        <v>253</v>
      </c>
      <c r="F131" s="12"/>
      <c r="G131" s="12"/>
      <c r="H131" s="12"/>
      <c r="I131" s="12"/>
      <c r="J131" s="12"/>
      <c r="L131" s="3" t="s">
        <v>253</v>
      </c>
      <c r="M131" s="3" t="s">
        <v>252</v>
      </c>
      <c r="N131" s="1" t="s">
        <v>251</v>
      </c>
      <c r="O131" s="1">
        <v>26</v>
      </c>
      <c r="Q131" s="1">
        <v>2</v>
      </c>
      <c r="R131" s="30">
        <v>0</v>
      </c>
      <c r="S131" s="13" t="s">
        <v>256</v>
      </c>
      <c r="T131" s="1">
        <v>132</v>
      </c>
      <c r="Z131" s="1">
        <v>2500</v>
      </c>
      <c r="AD131" s="31" t="str">
        <f t="shared" si="1"/>
        <v>作者:我的飞船界面，点击突破按钮</v>
      </c>
    </row>
    <row r="132" spans="1:30">
      <c r="A132" s="21">
        <v>131</v>
      </c>
      <c r="C132" s="1">
        <v>1</v>
      </c>
      <c r="D132" s="5">
        <v>0</v>
      </c>
      <c r="E132" s="7" t="s">
        <v>169</v>
      </c>
      <c r="H132" s="1"/>
      <c r="I132" s="15"/>
      <c r="J132" s="15"/>
      <c r="K132" s="15"/>
      <c r="L132" s="19" t="s">
        <v>169</v>
      </c>
      <c r="M132" s="3" t="s">
        <v>71</v>
      </c>
      <c r="N132" s="1" t="s">
        <v>126</v>
      </c>
      <c r="O132" s="1">
        <v>26</v>
      </c>
      <c r="Q132" s="1">
        <v>2</v>
      </c>
      <c r="R132" s="30">
        <v>0</v>
      </c>
      <c r="S132" s="13" t="s">
        <v>257</v>
      </c>
      <c r="T132" s="1">
        <v>132</v>
      </c>
      <c r="Z132" s="1">
        <v>2500</v>
      </c>
      <c r="AD132" s="31" t="str">
        <f t="shared" si="1"/>
        <v>作者:我的飞船界面点击返回</v>
      </c>
    </row>
    <row r="133" spans="1:30">
      <c r="A133" s="21">
        <v>132</v>
      </c>
      <c r="C133" s="1">
        <v>1</v>
      </c>
      <c r="D133" s="13">
        <v>0</v>
      </c>
      <c r="E133" s="7" t="s">
        <v>169</v>
      </c>
      <c r="H133" s="1"/>
      <c r="I133" s="15"/>
      <c r="J133" s="15"/>
      <c r="K133" s="15"/>
      <c r="L133" s="19" t="s">
        <v>169</v>
      </c>
      <c r="M133" s="3" t="s">
        <v>71</v>
      </c>
      <c r="N133" s="1" t="s">
        <v>126</v>
      </c>
      <c r="O133" s="1">
        <v>6</v>
      </c>
      <c r="Q133" s="1">
        <v>2</v>
      </c>
      <c r="R133" s="30">
        <v>0</v>
      </c>
      <c r="S133" s="13" t="s">
        <v>226</v>
      </c>
      <c r="T133" s="1">
        <v>132</v>
      </c>
      <c r="Z133" s="1">
        <v>2500</v>
      </c>
      <c r="AD133" s="31" t="str">
        <f t="shared" ref="AD133:AD170" si="2">Getcmt(A133)</f>
        <v>作者:舰队机库界面点击返回按钮</v>
      </c>
    </row>
    <row r="134" spans="1:30">
      <c r="A134" s="21">
        <v>133</v>
      </c>
      <c r="B134" s="1" t="s">
        <v>228</v>
      </c>
      <c r="D134" s="13"/>
      <c r="E134" s="3"/>
      <c r="F134" s="12"/>
      <c r="G134" s="12" t="s">
        <v>227</v>
      </c>
      <c r="H134" s="12"/>
      <c r="I134" s="12"/>
      <c r="J134" s="12"/>
      <c r="L134" s="3"/>
      <c r="M134" s="3"/>
      <c r="O134" s="1">
        <v>1</v>
      </c>
      <c r="P134" s="1">
        <v>3</v>
      </c>
      <c r="Q134" s="1">
        <v>2</v>
      </c>
      <c r="R134" s="30"/>
      <c r="S134" s="13" t="s">
        <v>229</v>
      </c>
      <c r="Z134" s="1" t="s">
        <v>213</v>
      </c>
      <c r="AD134" s="31" t="str">
        <f t="shared" si="2"/>
        <v>作者:舱体研发工厂升级介绍</v>
      </c>
    </row>
    <row r="135" spans="1:30">
      <c r="A135" s="21">
        <v>134</v>
      </c>
      <c r="C135" s="4">
        <v>1</v>
      </c>
      <c r="D135" s="1">
        <v>0</v>
      </c>
      <c r="E135" s="3" t="s">
        <v>165</v>
      </c>
      <c r="H135" s="12"/>
      <c r="I135" s="12"/>
      <c r="J135" s="12"/>
      <c r="L135" s="3" t="s">
        <v>165</v>
      </c>
      <c r="M135" s="2" t="s">
        <v>131</v>
      </c>
      <c r="N135" s="1" t="s">
        <v>155</v>
      </c>
      <c r="O135" s="1">
        <v>1</v>
      </c>
      <c r="P135" s="1">
        <v>3</v>
      </c>
      <c r="Q135" s="1">
        <v>2</v>
      </c>
      <c r="R135" s="3">
        <v>0</v>
      </c>
      <c r="S135" s="27" t="s">
        <v>64</v>
      </c>
      <c r="Z135" s="1" t="s">
        <v>213</v>
      </c>
      <c r="AD135" s="31" t="str">
        <f t="shared" si="2"/>
        <v>作者:点击图纸研发工厂</v>
      </c>
    </row>
    <row r="136" spans="1:30">
      <c r="A136" s="21">
        <v>135</v>
      </c>
      <c r="C136" s="4">
        <v>1</v>
      </c>
      <c r="D136" s="1">
        <v>0</v>
      </c>
      <c r="E136" s="2" t="s">
        <v>254</v>
      </c>
      <c r="H136" s="12"/>
      <c r="I136" s="12"/>
      <c r="J136" s="12"/>
      <c r="L136" s="2" t="s">
        <v>254</v>
      </c>
      <c r="M136" s="3" t="s">
        <v>137</v>
      </c>
      <c r="N136" s="1" t="s">
        <v>155</v>
      </c>
      <c r="O136" s="1">
        <v>1</v>
      </c>
      <c r="P136" s="1">
        <v>3</v>
      </c>
      <c r="Q136" s="1">
        <v>2</v>
      </c>
      <c r="R136" s="3">
        <v>0</v>
      </c>
      <c r="S136" s="13" t="s">
        <v>13</v>
      </c>
      <c r="Z136" s="1" t="s">
        <v>213</v>
      </c>
      <c r="AD136" s="31" t="str">
        <f t="shared" si="2"/>
        <v>作者:点击研发工厂升级按钮</v>
      </c>
    </row>
    <row r="137" spans="1:30">
      <c r="A137" s="21">
        <v>136</v>
      </c>
      <c r="C137" s="1">
        <v>1</v>
      </c>
      <c r="D137" s="1">
        <v>0</v>
      </c>
      <c r="E137" s="2" t="s">
        <v>77</v>
      </c>
      <c r="K137" s="2"/>
      <c r="L137" s="2" t="s">
        <v>77</v>
      </c>
      <c r="M137" s="3" t="s">
        <v>69</v>
      </c>
      <c r="O137" s="1">
        <v>7</v>
      </c>
      <c r="Q137" s="1">
        <v>2</v>
      </c>
      <c r="R137" s="1">
        <v>0</v>
      </c>
      <c r="S137" s="1" t="s">
        <v>36</v>
      </c>
      <c r="T137" s="1">
        <v>136</v>
      </c>
      <c r="Z137" s="1">
        <v>500</v>
      </c>
      <c r="AD137" s="31" t="str">
        <f t="shared" si="2"/>
        <v>作者:舱体研发工厂升级界面，点击升级按钮</v>
      </c>
    </row>
    <row r="138" spans="1:30">
      <c r="A138" s="21"/>
      <c r="D138" s="13"/>
      <c r="E138" s="3"/>
      <c r="F138" s="12"/>
      <c r="G138" s="12"/>
      <c r="H138" s="12"/>
      <c r="I138" s="12"/>
      <c r="J138" s="12"/>
      <c r="L138" s="3"/>
      <c r="M138" s="3"/>
      <c r="R138" s="30"/>
      <c r="S138" s="13"/>
      <c r="AD138" s="31" t="str">
        <f t="shared" si="2"/>
        <v/>
      </c>
    </row>
    <row r="139" spans="1:30">
      <c r="A139" s="21"/>
      <c r="D139" s="13"/>
      <c r="E139" s="3"/>
      <c r="F139" s="12"/>
      <c r="G139" s="12"/>
      <c r="H139" s="12"/>
      <c r="I139" s="12"/>
      <c r="J139" s="12"/>
      <c r="L139" s="3"/>
      <c r="M139" s="3"/>
      <c r="R139" s="30"/>
      <c r="S139" s="13"/>
      <c r="AD139" s="31" t="str">
        <f t="shared" si="2"/>
        <v/>
      </c>
    </row>
    <row r="140" spans="1:30">
      <c r="A140" s="21"/>
      <c r="D140" s="13"/>
      <c r="E140" s="3"/>
      <c r="F140" s="12"/>
      <c r="G140" s="12"/>
      <c r="H140" s="12"/>
      <c r="I140" s="12"/>
      <c r="J140" s="12"/>
      <c r="L140" s="3"/>
      <c r="M140" s="3"/>
      <c r="R140" s="30"/>
      <c r="S140" s="13"/>
      <c r="AD140" s="31" t="str">
        <f t="shared" si="2"/>
        <v/>
      </c>
    </row>
    <row r="141" spans="1:30">
      <c r="A141" s="21"/>
      <c r="D141" s="13"/>
      <c r="E141" s="3"/>
      <c r="F141" s="12"/>
      <c r="G141" s="12"/>
      <c r="H141" s="12"/>
      <c r="I141" s="12"/>
      <c r="J141" s="12"/>
      <c r="L141" s="3"/>
      <c r="M141" s="3"/>
      <c r="R141" s="30"/>
      <c r="S141" s="13"/>
      <c r="AD141" s="31" t="str">
        <f t="shared" si="2"/>
        <v/>
      </c>
    </row>
    <row r="142" spans="1:30">
      <c r="A142" s="21"/>
      <c r="D142" s="13"/>
      <c r="E142" s="3"/>
      <c r="F142" s="12"/>
      <c r="G142" s="12"/>
      <c r="H142" s="12"/>
      <c r="I142" s="12"/>
      <c r="J142" s="12"/>
      <c r="L142" s="3"/>
      <c r="M142" s="3"/>
      <c r="R142" s="30"/>
      <c r="S142" s="13"/>
      <c r="AD142" s="31" t="str">
        <f t="shared" si="2"/>
        <v/>
      </c>
    </row>
    <row r="143" spans="1:30">
      <c r="A143" s="21"/>
      <c r="D143" s="13"/>
      <c r="E143" s="3"/>
      <c r="F143" s="12"/>
      <c r="G143" s="12"/>
      <c r="H143" s="12"/>
      <c r="I143" s="12"/>
      <c r="J143" s="12"/>
      <c r="L143" s="3"/>
      <c r="M143" s="3"/>
      <c r="R143" s="30"/>
      <c r="S143" s="13"/>
      <c r="AD143" s="31" t="str">
        <f t="shared" si="2"/>
        <v/>
      </c>
    </row>
    <row r="144" spans="1:30">
      <c r="A144" s="21"/>
      <c r="D144" s="13"/>
      <c r="E144" s="3"/>
      <c r="F144" s="12"/>
      <c r="G144" s="12"/>
      <c r="H144" s="12"/>
      <c r="I144" s="12"/>
      <c r="J144" s="12"/>
      <c r="L144" s="3"/>
      <c r="M144" s="3"/>
      <c r="R144" s="30"/>
      <c r="S144" s="13"/>
      <c r="AD144" s="31" t="str">
        <f t="shared" si="2"/>
        <v/>
      </c>
    </row>
    <row r="145" spans="1:30">
      <c r="A145" s="21"/>
      <c r="D145" s="13"/>
      <c r="E145" s="3"/>
      <c r="F145" s="12"/>
      <c r="G145" s="12"/>
      <c r="H145" s="12"/>
      <c r="I145" s="12"/>
      <c r="J145" s="12"/>
      <c r="L145" s="3"/>
      <c r="M145" s="3"/>
      <c r="R145" s="30"/>
      <c r="S145" s="13"/>
      <c r="AD145" s="31" t="str">
        <f t="shared" si="2"/>
        <v/>
      </c>
    </row>
    <row r="146" spans="1:30">
      <c r="A146" s="21"/>
      <c r="D146" s="13"/>
      <c r="E146" s="3"/>
      <c r="F146" s="12"/>
      <c r="G146" s="12"/>
      <c r="H146" s="12"/>
      <c r="I146" s="12"/>
      <c r="J146" s="12"/>
      <c r="L146" s="3"/>
      <c r="M146" s="3"/>
      <c r="R146" s="30"/>
      <c r="S146" s="13"/>
      <c r="AD146" s="31" t="str">
        <f t="shared" si="2"/>
        <v/>
      </c>
    </row>
    <row r="147" spans="1:30">
      <c r="A147" s="21"/>
      <c r="D147" s="13"/>
      <c r="E147" s="3"/>
      <c r="F147" s="12"/>
      <c r="G147" s="12"/>
      <c r="H147" s="12"/>
      <c r="I147" s="12"/>
      <c r="J147" s="12"/>
      <c r="L147" s="3"/>
      <c r="M147" s="3"/>
      <c r="R147" s="30"/>
      <c r="S147" s="13"/>
      <c r="AD147" s="31" t="str">
        <f t="shared" si="2"/>
        <v/>
      </c>
    </row>
    <row r="148" spans="1:30">
      <c r="A148" s="21"/>
      <c r="D148" s="13"/>
      <c r="E148" s="3"/>
      <c r="F148" s="12"/>
      <c r="G148" s="12"/>
      <c r="H148" s="12"/>
      <c r="I148" s="12"/>
      <c r="J148" s="12"/>
      <c r="L148" s="3"/>
      <c r="M148" s="3"/>
      <c r="R148" s="30"/>
      <c r="S148" s="13"/>
      <c r="AD148" s="31" t="str">
        <f t="shared" si="2"/>
        <v/>
      </c>
    </row>
    <row r="149" spans="1:30">
      <c r="A149" s="21"/>
      <c r="D149" s="13"/>
      <c r="E149" s="3"/>
      <c r="F149" s="12"/>
      <c r="G149" s="12"/>
      <c r="H149" s="12"/>
      <c r="I149" s="12"/>
      <c r="J149" s="12"/>
      <c r="L149" s="3"/>
      <c r="M149" s="3"/>
      <c r="R149" s="30"/>
      <c r="S149" s="13"/>
      <c r="AD149" s="31" t="str">
        <f t="shared" si="2"/>
        <v/>
      </c>
    </row>
    <row r="150" spans="1:30">
      <c r="A150" s="21"/>
      <c r="D150" s="13"/>
      <c r="E150" s="3"/>
      <c r="F150" s="12"/>
      <c r="G150" s="12"/>
      <c r="H150" s="12"/>
      <c r="I150" s="12"/>
      <c r="J150" s="12"/>
      <c r="L150" s="3"/>
      <c r="M150" s="3"/>
      <c r="R150" s="30"/>
      <c r="S150" s="13"/>
      <c r="AD150" s="31" t="str">
        <f t="shared" si="2"/>
        <v/>
      </c>
    </row>
    <row r="151" spans="1:30">
      <c r="A151" s="21"/>
      <c r="D151" s="13"/>
      <c r="E151" s="3"/>
      <c r="F151" s="12"/>
      <c r="G151" s="12"/>
      <c r="H151" s="12"/>
      <c r="I151" s="12"/>
      <c r="J151" s="12"/>
      <c r="L151" s="3"/>
      <c r="M151" s="3"/>
      <c r="R151" s="30"/>
      <c r="S151" s="13"/>
      <c r="AD151" s="31" t="str">
        <f t="shared" si="2"/>
        <v/>
      </c>
    </row>
    <row r="152" spans="1:30">
      <c r="A152" s="21"/>
      <c r="D152" s="13"/>
      <c r="E152" s="3"/>
      <c r="F152" s="12"/>
      <c r="G152" s="12"/>
      <c r="H152" s="12"/>
      <c r="I152" s="12"/>
      <c r="J152" s="12"/>
      <c r="L152" s="3"/>
      <c r="M152" s="3"/>
      <c r="R152" s="30"/>
      <c r="S152" s="13"/>
      <c r="AD152" s="31" t="str">
        <f t="shared" si="2"/>
        <v/>
      </c>
    </row>
    <row r="153" spans="1:30">
      <c r="A153" s="21"/>
      <c r="D153" s="13"/>
      <c r="E153" s="3"/>
      <c r="F153" s="12"/>
      <c r="G153" s="12"/>
      <c r="H153" s="12"/>
      <c r="I153" s="12"/>
      <c r="J153" s="12"/>
      <c r="L153" s="3"/>
      <c r="M153" s="3"/>
      <c r="R153" s="30"/>
      <c r="S153" s="13"/>
      <c r="AD153" s="31" t="str">
        <f t="shared" si="2"/>
        <v/>
      </c>
    </row>
    <row r="154" spans="1:30">
      <c r="A154" s="21"/>
      <c r="D154" s="13"/>
      <c r="E154" s="3"/>
      <c r="F154" s="12"/>
      <c r="G154" s="12"/>
      <c r="H154" s="12"/>
      <c r="I154" s="12"/>
      <c r="J154" s="12"/>
      <c r="L154" s="3"/>
      <c r="M154" s="3"/>
      <c r="R154" s="30"/>
      <c r="S154" s="13"/>
      <c r="AD154" s="31" t="str">
        <f t="shared" si="2"/>
        <v/>
      </c>
    </row>
    <row r="155" spans="1:30">
      <c r="A155" s="21"/>
      <c r="D155" s="13"/>
      <c r="E155" s="3"/>
      <c r="F155" s="12"/>
      <c r="G155" s="12"/>
      <c r="H155" s="12"/>
      <c r="I155" s="12"/>
      <c r="J155" s="12"/>
      <c r="L155" s="3"/>
      <c r="M155" s="3"/>
      <c r="R155" s="30"/>
      <c r="S155" s="13"/>
      <c r="AD155" s="31" t="str">
        <f t="shared" si="2"/>
        <v/>
      </c>
    </row>
    <row r="156" spans="1:30">
      <c r="A156" s="21"/>
      <c r="D156" s="13"/>
      <c r="E156" s="3"/>
      <c r="F156" s="12"/>
      <c r="G156" s="12"/>
      <c r="H156" s="12"/>
      <c r="I156" s="12"/>
      <c r="J156" s="12"/>
      <c r="L156" s="3"/>
      <c r="M156" s="3"/>
      <c r="R156" s="30"/>
      <c r="S156" s="13"/>
      <c r="AD156" s="31" t="str">
        <f t="shared" si="2"/>
        <v/>
      </c>
    </row>
    <row r="157" spans="1:30">
      <c r="A157" s="21"/>
      <c r="D157" s="13"/>
      <c r="E157" s="3"/>
      <c r="F157" s="12"/>
      <c r="G157" s="12"/>
      <c r="H157" s="12"/>
      <c r="I157" s="12"/>
      <c r="J157" s="12"/>
      <c r="L157" s="3"/>
      <c r="M157" s="3"/>
      <c r="R157" s="30"/>
      <c r="S157" s="13"/>
      <c r="AD157" s="31" t="str">
        <f t="shared" si="2"/>
        <v/>
      </c>
    </row>
    <row r="158" spans="1:30">
      <c r="A158" s="21"/>
      <c r="D158" s="13"/>
      <c r="E158" s="3"/>
      <c r="F158" s="12"/>
      <c r="G158" s="12"/>
      <c r="H158" s="12"/>
      <c r="I158" s="12"/>
      <c r="J158" s="12"/>
      <c r="L158" s="3"/>
      <c r="M158" s="3"/>
      <c r="R158" s="30"/>
      <c r="S158" s="13"/>
      <c r="AD158" s="31" t="str">
        <f t="shared" si="2"/>
        <v/>
      </c>
    </row>
    <row r="159" spans="1:30">
      <c r="A159" s="21"/>
      <c r="D159" s="13"/>
      <c r="E159" s="3"/>
      <c r="F159" s="12"/>
      <c r="G159" s="12"/>
      <c r="H159" s="12"/>
      <c r="I159" s="12"/>
      <c r="J159" s="12"/>
      <c r="L159" s="3"/>
      <c r="M159" s="3"/>
      <c r="R159" s="30"/>
      <c r="S159" s="13"/>
      <c r="AD159" s="31" t="str">
        <f t="shared" si="2"/>
        <v/>
      </c>
    </row>
    <row r="160" spans="1:30">
      <c r="A160" s="29"/>
      <c r="B160" s="1" t="s">
        <v>120</v>
      </c>
      <c r="E160" s="15"/>
      <c r="F160" s="20"/>
      <c r="G160" s="20" t="s">
        <v>18</v>
      </c>
      <c r="H160" s="20"/>
      <c r="I160" s="20"/>
      <c r="J160" s="20"/>
      <c r="K160" s="20"/>
      <c r="L160" s="15"/>
      <c r="M160" s="3"/>
      <c r="O160" s="1">
        <v>1</v>
      </c>
      <c r="AD160" s="31" t="str">
        <f t="shared" si="2"/>
        <v>作者:什么是星系介绍</v>
      </c>
    </row>
    <row r="161" spans="1:30">
      <c r="A161" s="29"/>
      <c r="C161" s="1">
        <v>1</v>
      </c>
      <c r="D161" s="13">
        <v>0</v>
      </c>
      <c r="E161" s="12" t="s">
        <v>179</v>
      </c>
      <c r="F161" s="12"/>
      <c r="G161" s="12"/>
      <c r="H161" s="12"/>
      <c r="I161" s="12"/>
      <c r="J161" s="12"/>
      <c r="L161" s="12" t="s">
        <v>179</v>
      </c>
      <c r="M161" s="12" t="s">
        <v>132</v>
      </c>
      <c r="N161" s="1" t="s">
        <v>103</v>
      </c>
      <c r="O161" s="1">
        <v>1</v>
      </c>
      <c r="R161" s="1">
        <v>0</v>
      </c>
      <c r="S161" s="1" t="s">
        <v>13</v>
      </c>
      <c r="AD161" s="31" t="str">
        <f t="shared" si="2"/>
        <v>作者:点击星系</v>
      </c>
    </row>
    <row r="162" spans="1:30">
      <c r="A162" s="29"/>
      <c r="E162" s="12" t="s">
        <v>95</v>
      </c>
      <c r="K162" s="2"/>
      <c r="L162" s="12"/>
      <c r="M162" s="3"/>
      <c r="O162" s="1">
        <v>13</v>
      </c>
      <c r="R162" s="1">
        <v>0</v>
      </c>
      <c r="W162" s="1">
        <v>4</v>
      </c>
      <c r="AD162" s="31" t="str">
        <f t="shared" si="2"/>
        <v/>
      </c>
    </row>
    <row r="163" spans="1:30">
      <c r="A163" s="29"/>
      <c r="E163" s="3" t="s">
        <v>95</v>
      </c>
      <c r="K163" s="2"/>
      <c r="L163" s="14"/>
      <c r="M163" s="3"/>
      <c r="O163" s="1">
        <v>13</v>
      </c>
      <c r="R163" s="1">
        <v>0</v>
      </c>
      <c r="S163" s="1" t="s">
        <v>20</v>
      </c>
      <c r="W163" s="1">
        <v>2</v>
      </c>
      <c r="X163" s="1" t="s">
        <v>68</v>
      </c>
      <c r="Y163" s="1">
        <v>1</v>
      </c>
      <c r="AD163" s="31" t="str">
        <f t="shared" si="2"/>
        <v>作者:镜头移动至最近无人采集的资源矿</v>
      </c>
    </row>
    <row r="164" spans="1:30">
      <c r="A164" s="29"/>
      <c r="B164" s="4" t="s">
        <v>92</v>
      </c>
      <c r="E164" s="3"/>
      <c r="G164" s="2" t="s">
        <v>18</v>
      </c>
      <c r="K164" s="2"/>
      <c r="L164" s="14"/>
      <c r="M164" s="3"/>
      <c r="O164" s="1">
        <v>13</v>
      </c>
      <c r="S164" s="1" t="s">
        <v>20</v>
      </c>
      <c r="AD164" s="31" t="str">
        <f t="shared" si="2"/>
        <v>作者:资源矿介绍</v>
      </c>
    </row>
    <row r="165" spans="1:30">
      <c r="A165" s="29"/>
      <c r="B165" s="4" t="s">
        <v>93</v>
      </c>
      <c r="E165" s="3"/>
      <c r="G165" s="2" t="s">
        <v>18</v>
      </c>
      <c r="K165" s="2"/>
      <c r="L165" s="14"/>
      <c r="M165" s="3"/>
      <c r="O165" s="1">
        <v>13</v>
      </c>
      <c r="S165" s="1" t="s">
        <v>20</v>
      </c>
      <c r="Z165" s="1">
        <v>600</v>
      </c>
      <c r="AD165" s="31" t="str">
        <f t="shared" si="2"/>
        <v>作者:返回主城对话</v>
      </c>
    </row>
    <row r="166" spans="1:30">
      <c r="A166" s="29"/>
      <c r="C166" s="1">
        <v>1</v>
      </c>
      <c r="D166" s="13">
        <v>0</v>
      </c>
      <c r="E166" s="12" t="s">
        <v>179</v>
      </c>
      <c r="F166" s="12"/>
      <c r="G166" s="12"/>
      <c r="H166" s="12"/>
      <c r="I166" s="12"/>
      <c r="J166" s="12"/>
      <c r="L166" s="12" t="s">
        <v>179</v>
      </c>
      <c r="M166" s="12" t="s">
        <v>132</v>
      </c>
      <c r="N166" s="1" t="s">
        <v>103</v>
      </c>
      <c r="O166" s="1">
        <v>13</v>
      </c>
      <c r="R166" s="1">
        <v>0</v>
      </c>
      <c r="S166" s="1" t="s">
        <v>13</v>
      </c>
      <c r="T166" s="1">
        <f>表1[[#This Row],[ID]]</f>
        <v>0</v>
      </c>
      <c r="AD166" s="31" t="str">
        <f t="shared" si="2"/>
        <v>作者:返回主界面</v>
      </c>
    </row>
    <row r="167" spans="1:30">
      <c r="A167" s="21"/>
      <c r="D167" s="13"/>
      <c r="E167" s="3"/>
      <c r="F167" s="12"/>
      <c r="G167" s="12"/>
      <c r="H167" s="12"/>
      <c r="I167" s="12"/>
      <c r="J167" s="12"/>
      <c r="L167" s="3"/>
      <c r="M167" s="3"/>
      <c r="R167" s="30"/>
      <c r="S167" s="13"/>
      <c r="AD167" s="31" t="str">
        <f t="shared" si="2"/>
        <v/>
      </c>
    </row>
    <row r="168" spans="1:30">
      <c r="A168" s="21"/>
      <c r="D168" s="13"/>
      <c r="E168" s="3"/>
      <c r="F168" s="12"/>
      <c r="G168" s="12"/>
      <c r="H168" s="12"/>
      <c r="I168" s="12"/>
      <c r="J168" s="12"/>
      <c r="L168" s="3"/>
      <c r="M168" s="3"/>
      <c r="R168" s="30"/>
      <c r="S168" s="13"/>
      <c r="AD168" s="31" t="str">
        <f t="shared" si="2"/>
        <v/>
      </c>
    </row>
    <row r="169" spans="1:30">
      <c r="A169" s="21"/>
      <c r="D169" s="13"/>
      <c r="E169" s="3"/>
      <c r="F169" s="12"/>
      <c r="G169" s="12"/>
      <c r="H169" s="12"/>
      <c r="I169" s="12"/>
      <c r="J169" s="12"/>
      <c r="L169" s="3"/>
      <c r="M169" s="3"/>
      <c r="R169" s="30"/>
      <c r="S169" s="13"/>
      <c r="AD169" s="31" t="str">
        <f t="shared" si="2"/>
        <v/>
      </c>
    </row>
    <row r="170" spans="1:30">
      <c r="A170" s="21"/>
      <c r="D170" s="13"/>
      <c r="E170" s="3"/>
      <c r="F170" s="12"/>
      <c r="G170" s="12"/>
      <c r="H170" s="12"/>
      <c r="I170" s="12"/>
      <c r="J170" s="12"/>
      <c r="L170" s="3"/>
      <c r="M170" s="3"/>
      <c r="R170" s="30"/>
      <c r="S170" s="13"/>
      <c r="AD170" s="31" t="str">
        <f t="shared" si="2"/>
        <v/>
      </c>
    </row>
  </sheetData>
  <phoneticPr fontId="1" type="noConversion"/>
  <conditionalFormatting sqref="R56:R60 R37 R17:R18 R6 R10 S4 R21 R51:R52 R54 R71:R72 R1:R3 R64:R65 Q171:Q1048576 R39:R47 R167:R170 R75:R76 R62 R79:R82 R89 R84:R87 R131:R134 R95 R138:R159 R114:R115 R118:R126">
    <cfRule type="containsText" dxfId="264" priority="555" operator="containsText" text=" ">
      <formula>NOT(ISERROR(SEARCH(" ",Q1)))</formula>
    </cfRule>
  </conditionalFormatting>
  <conditionalFormatting sqref="L38:M38 H7:H8 E19 F36:H36 L43:M43 M46 L7:L8 E71:E73 M41 F46:K46 F50:K50 F53:K53 F74:K74 F5:K5 F58:H60 I34:L34 F42:K42 F71:K72 H19:H20 I22:L22 I39:K39 I32:K32 I58:K61 F17:G17 G18:H18 L18:M18 J19:M19 L20:M20 L1:M3 G30:K30 M36 H13:M14 H12:L12 H15:K16 M15:M16 E67 L67:M67 F9:M11 F21:M21 E26:M26 E37:M37 E31:M31 E51:M52 F54:M54 E57:M57 E54:E55 F55:K56 F4:M4 E6:E10 F6:M6 F62:M62 E29:M29 E1:F1 E47:M49 E3:E4 F3 E21:E23 F23:M23 F33:M33 E40:M40 E44:M45 E33:E35 F35:M35 E12:E14 F14 E62:E63 F63:K63 L71:M73 E171:L1048576 E167:M170 E75:M76 E79:M82 E89:M89 E84:M84 E131:M131 E134:M134 E95:M95 E138:M159 E114:M115">
    <cfRule type="containsText" dxfId="263" priority="535" operator="containsText" text="，">
      <formula>NOT(ISERROR(SEARCH("，",E1)))</formula>
    </cfRule>
  </conditionalFormatting>
  <conditionalFormatting sqref="R33">
    <cfRule type="containsText" dxfId="262" priority="521" operator="containsText" text=" ">
      <formula>NOT(ISERROR(SEARCH(" ",R33)))</formula>
    </cfRule>
  </conditionalFormatting>
  <conditionalFormatting sqref="R23 R26">
    <cfRule type="containsText" dxfId="261" priority="519" operator="containsText" text=" ">
      <formula>NOT(ISERROR(SEARCH(" ",R23)))</formula>
    </cfRule>
  </conditionalFormatting>
  <conditionalFormatting sqref="R31">
    <cfRule type="containsText" dxfId="260" priority="517" operator="containsText" text=" ">
      <formula>NOT(ISERROR(SEARCH(" ",R31)))</formula>
    </cfRule>
  </conditionalFormatting>
  <conditionalFormatting sqref="R5">
    <cfRule type="containsText" dxfId="259" priority="504" operator="containsText" text=" ">
      <formula>NOT(ISERROR(SEARCH(" ",R5)))</formula>
    </cfRule>
  </conditionalFormatting>
  <conditionalFormatting sqref="R9">
    <cfRule type="containsText" dxfId="258" priority="501" operator="containsText" text=" ">
      <formula>NOT(ISERROR(SEARCH(" ",R9)))</formula>
    </cfRule>
  </conditionalFormatting>
  <conditionalFormatting sqref="R11">
    <cfRule type="containsText" dxfId="257" priority="500" operator="containsText" text=" ">
      <formula>NOT(ISERROR(SEARCH(" ",R11)))</formula>
    </cfRule>
  </conditionalFormatting>
  <conditionalFormatting sqref="R14">
    <cfRule type="containsText" dxfId="256" priority="499" operator="containsText" text=" ">
      <formula>NOT(ISERROR(SEARCH(" ",R14)))</formula>
    </cfRule>
  </conditionalFormatting>
  <conditionalFormatting sqref="R7:R8 R12:R13 R15:R16 R19:R20 R22 R24:R25 R27:R28 R32 R34:R36 R48:R50 R53 R30">
    <cfRule type="containsText" dxfId="255" priority="498" operator="containsText" text=" ">
      <formula>NOT(ISERROR(SEARCH(" ",R7)))</formula>
    </cfRule>
  </conditionalFormatting>
  <conditionalFormatting sqref="L53">
    <cfRule type="containsText" dxfId="254" priority="473" operator="containsText" text="，">
      <formula>NOT(ISERROR(SEARCH("，",L53)))</formula>
    </cfRule>
  </conditionalFormatting>
  <conditionalFormatting sqref="E43">
    <cfRule type="containsText" dxfId="253" priority="481" operator="containsText" text="，">
      <formula>NOT(ISERROR(SEARCH("，",E43)))</formula>
    </cfRule>
  </conditionalFormatting>
  <conditionalFormatting sqref="H25 E25 L25">
    <cfRule type="containsText" dxfId="252" priority="490" operator="containsText" text="，">
      <formula>NOT(ISERROR(SEARCH("，",E25)))</formula>
    </cfRule>
  </conditionalFormatting>
  <conditionalFormatting sqref="L55">
    <cfRule type="containsText" dxfId="251" priority="468" operator="containsText" text="，">
      <formula>NOT(ISERROR(SEARCH("，",L55)))</formula>
    </cfRule>
  </conditionalFormatting>
  <conditionalFormatting sqref="M30">
    <cfRule type="containsText" dxfId="250" priority="486" operator="containsText" text="，">
      <formula>NOT(ISERROR(SEARCH("，",M30)))</formula>
    </cfRule>
  </conditionalFormatting>
  <conditionalFormatting sqref="I36:K36">
    <cfRule type="containsText" dxfId="249" priority="485" operator="containsText" text="，">
      <formula>NOT(ISERROR(SEARCH("，",I36)))</formula>
    </cfRule>
  </conditionalFormatting>
  <conditionalFormatting sqref="E46">
    <cfRule type="containsText" dxfId="248" priority="480" operator="containsText" text="，">
      <formula>NOT(ISERROR(SEARCH("，",E46)))</formula>
    </cfRule>
  </conditionalFormatting>
  <conditionalFormatting sqref="L46">
    <cfRule type="containsText" dxfId="247" priority="479" operator="containsText" text="，">
      <formula>NOT(ISERROR(SEARCH("，",L46)))</formula>
    </cfRule>
  </conditionalFormatting>
  <conditionalFormatting sqref="M53">
    <cfRule type="containsText" dxfId="246" priority="471" operator="containsText" text="，">
      <formula>NOT(ISERROR(SEARCH("，",M53)))</formula>
    </cfRule>
  </conditionalFormatting>
  <conditionalFormatting sqref="E53">
    <cfRule type="containsText" dxfId="245" priority="475" operator="containsText" text="，">
      <formula>NOT(ISERROR(SEARCH("，",E53)))</formula>
    </cfRule>
  </conditionalFormatting>
  <conditionalFormatting sqref="E64">
    <cfRule type="containsText" dxfId="244" priority="456" operator="containsText" text="，">
      <formula>NOT(ISERROR(SEARCH("，",E64)))</formula>
    </cfRule>
  </conditionalFormatting>
  <conditionalFormatting sqref="E58:E60">
    <cfRule type="containsText" dxfId="243" priority="466" operator="containsText" text="，">
      <formula>NOT(ISERROR(SEARCH("，",E58)))</formula>
    </cfRule>
  </conditionalFormatting>
  <conditionalFormatting sqref="L58:L60">
    <cfRule type="containsText" dxfId="242" priority="465" operator="containsText" text="，">
      <formula>NOT(ISERROR(SEARCH("，",L58)))</formula>
    </cfRule>
  </conditionalFormatting>
  <conditionalFormatting sqref="R61">
    <cfRule type="containsText" dxfId="241" priority="460" operator="containsText" text=" ">
      <formula>NOT(ISERROR(SEARCH(" ",R61)))</formula>
    </cfRule>
  </conditionalFormatting>
  <conditionalFormatting sqref="L64">
    <cfRule type="containsText" dxfId="240" priority="455" operator="containsText" text="，">
      <formula>NOT(ISERROR(SEARCH("，",L64)))</formula>
    </cfRule>
  </conditionalFormatting>
  <conditionalFormatting sqref="M50">
    <cfRule type="containsText" dxfId="239" priority="447" operator="containsText" text="，">
      <formula>NOT(ISERROR(SEARCH("，",M50)))</formula>
    </cfRule>
  </conditionalFormatting>
  <conditionalFormatting sqref="M22">
    <cfRule type="containsText" dxfId="238" priority="445" operator="containsText" text="，">
      <formula>NOT(ISERROR(SEARCH("，",M22)))</formula>
    </cfRule>
  </conditionalFormatting>
  <conditionalFormatting sqref="R29">
    <cfRule type="containsText" dxfId="237" priority="443" operator="containsText" text=" ">
      <formula>NOT(ISERROR(SEARCH(" ",R29)))</formula>
    </cfRule>
  </conditionalFormatting>
  <conditionalFormatting sqref="M39">
    <cfRule type="containsText" dxfId="236" priority="401" operator="containsText" text="，">
      <formula>NOT(ISERROR(SEARCH("，",M39)))</formula>
    </cfRule>
  </conditionalFormatting>
  <conditionalFormatting sqref="M7">
    <cfRule type="containsText" dxfId="235" priority="425" operator="containsText" text="，">
      <formula>NOT(ISERROR(SEARCH("，",M7)))</formula>
    </cfRule>
  </conditionalFormatting>
  <conditionalFormatting sqref="E5">
    <cfRule type="containsText" dxfId="234" priority="424" operator="containsText" text="，">
      <formula>NOT(ISERROR(SEARCH("，",E5)))</formula>
    </cfRule>
  </conditionalFormatting>
  <conditionalFormatting sqref="M5">
    <cfRule type="containsText" dxfId="233" priority="422" operator="containsText" text="，">
      <formula>NOT(ISERROR(SEARCH("，",M5)))</formula>
    </cfRule>
  </conditionalFormatting>
  <conditionalFormatting sqref="M61">
    <cfRule type="containsText" dxfId="232" priority="392" operator="containsText" text="，">
      <formula>NOT(ISERROR(SEARCH("，",M61)))</formula>
    </cfRule>
  </conditionalFormatting>
  <conditionalFormatting sqref="E32 L32">
    <cfRule type="containsText" dxfId="231" priority="407" operator="containsText" text="，">
      <formula>NOT(ISERROR(SEARCH("，",E32)))</formula>
    </cfRule>
  </conditionalFormatting>
  <conditionalFormatting sqref="M12">
    <cfRule type="containsText" dxfId="230" priority="412" operator="containsText" text="，">
      <formula>NOT(ISERROR(SEARCH("，",M12)))</formula>
    </cfRule>
  </conditionalFormatting>
  <conditionalFormatting sqref="E50">
    <cfRule type="containsText" dxfId="229" priority="398" operator="containsText" text="，">
      <formula>NOT(ISERROR(SEARCH("，",E50)))</formula>
    </cfRule>
  </conditionalFormatting>
  <conditionalFormatting sqref="M32">
    <cfRule type="containsText" dxfId="228" priority="405" operator="containsText" text="，">
      <formula>NOT(ISERROR(SEARCH("，",M32)))</formula>
    </cfRule>
  </conditionalFormatting>
  <conditionalFormatting sqref="E39 L39">
    <cfRule type="containsText" dxfId="227" priority="403" operator="containsText" text="，">
      <formula>NOT(ISERROR(SEARCH("，",E39)))</formula>
    </cfRule>
  </conditionalFormatting>
  <conditionalFormatting sqref="H24">
    <cfRule type="containsText" dxfId="226" priority="399" operator="containsText" text="，">
      <formula>NOT(ISERROR(SEARCH("，",H24)))</formula>
    </cfRule>
  </conditionalFormatting>
  <conditionalFormatting sqref="L50">
    <cfRule type="containsText" dxfId="225" priority="397" operator="containsText" text="，">
      <formula>NOT(ISERROR(SEARCH("，",L50)))</formula>
    </cfRule>
  </conditionalFormatting>
  <conditionalFormatting sqref="L61 E61">
    <cfRule type="containsText" dxfId="224" priority="394" operator="containsText" text="，">
      <formula>NOT(ISERROR(SEARCH("，",E61)))</formula>
    </cfRule>
  </conditionalFormatting>
  <conditionalFormatting sqref="H67">
    <cfRule type="containsText" dxfId="223" priority="390" operator="containsText" text="，">
      <formula>NOT(ISERROR(SEARCH("，",H67)))</formula>
    </cfRule>
  </conditionalFormatting>
  <conditionalFormatting sqref="R67">
    <cfRule type="containsText" dxfId="222" priority="389" operator="containsText" text=" ">
      <formula>NOT(ISERROR(SEARCH(" ",R67)))</formula>
    </cfRule>
  </conditionalFormatting>
  <conditionalFormatting sqref="H41">
    <cfRule type="containsText" dxfId="221" priority="379" operator="containsText" text="，">
      <formula>NOT(ISERROR(SEARCH("，",H41)))</formula>
    </cfRule>
  </conditionalFormatting>
  <conditionalFormatting sqref="L65">
    <cfRule type="containsText" dxfId="220" priority="365" operator="containsText" text="，">
      <formula>NOT(ISERROR(SEARCH("，",L65)))</formula>
    </cfRule>
  </conditionalFormatting>
  <conditionalFormatting sqref="M65">
    <cfRule type="containsText" dxfId="219" priority="364" operator="containsText" text="，">
      <formula>NOT(ISERROR(SEARCH("，",M65)))</formula>
    </cfRule>
  </conditionalFormatting>
  <conditionalFormatting sqref="H73">
    <cfRule type="containsText" dxfId="218" priority="363" operator="containsText" text="，">
      <formula>NOT(ISERROR(SEARCH("，",H73)))</formula>
    </cfRule>
  </conditionalFormatting>
  <conditionalFormatting sqref="R73">
    <cfRule type="containsText" dxfId="217" priority="362" operator="containsText" text=" ">
      <formula>NOT(ISERROR(SEARCH(" ",R73)))</formula>
    </cfRule>
  </conditionalFormatting>
  <conditionalFormatting sqref="E17">
    <cfRule type="containsText" dxfId="216" priority="354" operator="containsText" text="，">
      <formula>NOT(ISERROR(SEARCH("，",E17)))</formula>
    </cfRule>
  </conditionalFormatting>
  <conditionalFormatting sqref="M70">
    <cfRule type="containsText" dxfId="215" priority="351" operator="containsText" text="，">
      <formula>NOT(ISERROR(SEARCH("，",M70)))</formula>
    </cfRule>
  </conditionalFormatting>
  <conditionalFormatting sqref="H17">
    <cfRule type="containsText" dxfId="214" priority="323" operator="containsText" text="，">
      <formula>NOT(ISERROR(SEARCH("，",H17)))</formula>
    </cfRule>
  </conditionalFormatting>
  <conditionalFormatting sqref="F18">
    <cfRule type="containsText" dxfId="213" priority="322" operator="containsText" text="，">
      <formula>NOT(ISERROR(SEARCH("，",F18)))</formula>
    </cfRule>
  </conditionalFormatting>
  <conditionalFormatting sqref="E18">
    <cfRule type="containsText" dxfId="212" priority="321" operator="containsText" text="，">
      <formula>NOT(ISERROR(SEARCH("，",E18)))</formula>
    </cfRule>
  </conditionalFormatting>
  <conditionalFormatting sqref="J18:K18">
    <cfRule type="containsText" dxfId="211" priority="320" operator="containsText" text="，">
      <formula>NOT(ISERROR(SEARCH("，",J18)))</formula>
    </cfRule>
  </conditionalFormatting>
  <conditionalFormatting sqref="I18">
    <cfRule type="containsText" dxfId="210" priority="319" operator="containsText" text="，">
      <formula>NOT(ISERROR(SEARCH("，",I18)))</formula>
    </cfRule>
  </conditionalFormatting>
  <conditionalFormatting sqref="M17">
    <cfRule type="containsText" dxfId="209" priority="316" operator="containsText" text="，">
      <formula>NOT(ISERROR(SEARCH("，",M17)))</formula>
    </cfRule>
  </conditionalFormatting>
  <conditionalFormatting sqref="J20:K20">
    <cfRule type="containsText" dxfId="208" priority="312" operator="containsText" text="，">
      <formula>NOT(ISERROR(SEARCH("，",J20)))</formula>
    </cfRule>
  </conditionalFormatting>
  <conditionalFormatting sqref="L17">
    <cfRule type="containsText" dxfId="207" priority="315" operator="containsText" text="，">
      <formula>NOT(ISERROR(SEARCH("，",L17)))</formula>
    </cfRule>
  </conditionalFormatting>
  <conditionalFormatting sqref="I20">
    <cfRule type="containsText" dxfId="206" priority="311" operator="containsText" text="，">
      <formula>NOT(ISERROR(SEARCH("，",I20)))</formula>
    </cfRule>
  </conditionalFormatting>
  <conditionalFormatting sqref="F20">
    <cfRule type="containsText" dxfId="205" priority="314" operator="containsText" text="，">
      <formula>NOT(ISERROR(SEARCH("，",F20)))</formula>
    </cfRule>
  </conditionalFormatting>
  <conditionalFormatting sqref="E20">
    <cfRule type="containsText" dxfId="204" priority="313" operator="containsText" text="，">
      <formula>NOT(ISERROR(SEARCH("，",E20)))</formula>
    </cfRule>
  </conditionalFormatting>
  <conditionalFormatting sqref="J17:K17">
    <cfRule type="containsText" dxfId="203" priority="267" operator="containsText" text="，">
      <formula>NOT(ISERROR(SEARCH("，",J17)))</formula>
    </cfRule>
  </conditionalFormatting>
  <conditionalFormatting sqref="I17">
    <cfRule type="containsText" dxfId="202" priority="266" operator="containsText" text="，">
      <formula>NOT(ISERROR(SEARCH("，",I17)))</formula>
    </cfRule>
  </conditionalFormatting>
  <conditionalFormatting sqref="N38 N43">
    <cfRule type="containsText" dxfId="201" priority="265" operator="containsText" text="，">
      <formula>NOT(ISERROR(SEARCH("，",N38)))</formula>
    </cfRule>
  </conditionalFormatting>
  <conditionalFormatting sqref="J2:K2">
    <cfRule type="containsText" dxfId="200" priority="264" operator="containsText" text="，">
      <formula>NOT(ISERROR(SEARCH("，",J2)))</formula>
    </cfRule>
  </conditionalFormatting>
  <conditionalFormatting sqref="I2">
    <cfRule type="containsText" dxfId="199" priority="263" operator="containsText" text="，">
      <formula>NOT(ISERROR(SEARCH("，",I2)))</formula>
    </cfRule>
  </conditionalFormatting>
  <conditionalFormatting sqref="F2">
    <cfRule type="containsText" dxfId="198" priority="262" operator="containsText" text="，">
      <formula>NOT(ISERROR(SEARCH("，",F2)))</formula>
    </cfRule>
  </conditionalFormatting>
  <conditionalFormatting sqref="E2">
    <cfRule type="containsText" dxfId="197" priority="255" operator="containsText" text="，">
      <formula>NOT(ISERROR(SEARCH("，",E2)))</formula>
    </cfRule>
  </conditionalFormatting>
  <conditionalFormatting sqref="L5">
    <cfRule type="containsText" dxfId="196" priority="251" operator="containsText" text="，">
      <formula>NOT(ISERROR(SEARCH("，",L5)))</formula>
    </cfRule>
  </conditionalFormatting>
  <conditionalFormatting sqref="E30">
    <cfRule type="containsText" dxfId="195" priority="250" operator="containsText" text="，">
      <formula>NOT(ISERROR(SEARCH("，",E30)))</formula>
    </cfRule>
  </conditionalFormatting>
  <conditionalFormatting sqref="L30">
    <cfRule type="containsText" dxfId="194" priority="249" operator="containsText" text="，">
      <formula>NOT(ISERROR(SEARCH("，",L30)))</formula>
    </cfRule>
  </conditionalFormatting>
  <conditionalFormatting sqref="M64">
    <cfRule type="containsText" dxfId="193" priority="243" operator="containsText" text="，">
      <formula>NOT(ISERROR(SEARCH("，",M64)))</formula>
    </cfRule>
  </conditionalFormatting>
  <conditionalFormatting sqref="M34">
    <cfRule type="containsText" dxfId="192" priority="247" operator="containsText" text="，">
      <formula>NOT(ISERROR(SEARCH("，",M34)))</formula>
    </cfRule>
  </conditionalFormatting>
  <conditionalFormatting sqref="M27">
    <cfRule type="containsText" dxfId="191" priority="246" operator="containsText" text="，">
      <formula>NOT(ISERROR(SEARCH("，",M27)))</formula>
    </cfRule>
  </conditionalFormatting>
  <conditionalFormatting sqref="M55">
    <cfRule type="containsText" dxfId="190" priority="245" operator="containsText" text="，">
      <formula>NOT(ISERROR(SEARCH("，",M55)))</formula>
    </cfRule>
  </conditionalFormatting>
  <conditionalFormatting sqref="M63">
    <cfRule type="containsText" dxfId="189" priority="244" operator="containsText" text="，">
      <formula>NOT(ISERROR(SEARCH("，",M63)))</formula>
    </cfRule>
  </conditionalFormatting>
  <conditionalFormatting sqref="M42">
    <cfRule type="containsText" dxfId="188" priority="235" operator="containsText" text="，">
      <formula>NOT(ISERROR(SEARCH("，",M42)))</formula>
    </cfRule>
  </conditionalFormatting>
  <conditionalFormatting sqref="E56">
    <cfRule type="containsText" dxfId="187" priority="233" operator="containsText" text="，">
      <formula>NOT(ISERROR(SEARCH("，",E56)))</formula>
    </cfRule>
  </conditionalFormatting>
  <conditionalFormatting sqref="E16">
    <cfRule type="containsText" dxfId="186" priority="219" operator="containsText" text="，">
      <formula>NOT(ISERROR(SEARCH("，",E16)))</formula>
    </cfRule>
  </conditionalFormatting>
  <conditionalFormatting sqref="M28">
    <cfRule type="containsText" dxfId="185" priority="218" operator="containsText" text="，">
      <formula>NOT(ISERROR(SEARCH("，",M28)))</formula>
    </cfRule>
  </conditionalFormatting>
  <conditionalFormatting sqref="E42">
    <cfRule type="containsText" dxfId="184" priority="215" operator="containsText" text="，">
      <formula>NOT(ISERROR(SEARCH("，",E42)))</formula>
    </cfRule>
  </conditionalFormatting>
  <conditionalFormatting sqref="R66">
    <cfRule type="containsText" dxfId="183" priority="204" operator="containsText" text=" ">
      <formula>NOT(ISERROR(SEARCH(" ",R66)))</formula>
    </cfRule>
  </conditionalFormatting>
  <conditionalFormatting sqref="M66 F66:K66">
    <cfRule type="containsText" dxfId="182" priority="203" operator="containsText" text="，">
      <formula>NOT(ISERROR(SEARCH("，",F66)))</formula>
    </cfRule>
  </conditionalFormatting>
  <conditionalFormatting sqref="E66">
    <cfRule type="containsText" dxfId="181" priority="202" operator="containsText" text="，">
      <formula>NOT(ISERROR(SEARCH("，",E66)))</formula>
    </cfRule>
  </conditionalFormatting>
  <conditionalFormatting sqref="L66">
    <cfRule type="containsText" dxfId="180" priority="201" operator="containsText" text="，">
      <formula>NOT(ISERROR(SEARCH("，",L66)))</formula>
    </cfRule>
  </conditionalFormatting>
  <conditionalFormatting sqref="E15">
    <cfRule type="containsText" dxfId="179" priority="199" operator="containsText" text="，">
      <formula>NOT(ISERROR(SEARCH("，",E15)))</formula>
    </cfRule>
  </conditionalFormatting>
  <conditionalFormatting sqref="L15">
    <cfRule type="containsText" dxfId="178" priority="197" operator="containsText" text="，">
      <formula>NOT(ISERROR(SEARCH("，",L15)))</formula>
    </cfRule>
  </conditionalFormatting>
  <conditionalFormatting sqref="L16">
    <cfRule type="containsText" dxfId="177" priority="194" operator="containsText" text="，">
      <formula>NOT(ISERROR(SEARCH("，",L16)))</formula>
    </cfRule>
  </conditionalFormatting>
  <conditionalFormatting sqref="E24">
    <cfRule type="containsText" dxfId="176" priority="193" operator="containsText" text="，">
      <formula>NOT(ISERROR(SEARCH("，",E24)))</formula>
    </cfRule>
  </conditionalFormatting>
  <conditionalFormatting sqref="H27:K28">
    <cfRule type="containsText" dxfId="175" priority="192" operator="containsText" text="，">
      <formula>NOT(ISERROR(SEARCH("，",H27)))</formula>
    </cfRule>
  </conditionalFormatting>
  <conditionalFormatting sqref="E28">
    <cfRule type="containsText" dxfId="174" priority="191" operator="containsText" text="，">
      <formula>NOT(ISERROR(SEARCH("，",E28)))</formula>
    </cfRule>
  </conditionalFormatting>
  <conditionalFormatting sqref="E27">
    <cfRule type="containsText" dxfId="173" priority="190" operator="containsText" text="，">
      <formula>NOT(ISERROR(SEARCH("，",E27)))</formula>
    </cfRule>
  </conditionalFormatting>
  <conditionalFormatting sqref="L27">
    <cfRule type="containsText" dxfId="172" priority="189" operator="containsText" text="，">
      <formula>NOT(ISERROR(SEARCH("，",L27)))</formula>
    </cfRule>
  </conditionalFormatting>
  <conditionalFormatting sqref="L28">
    <cfRule type="containsText" dxfId="171" priority="188" operator="containsText" text="，">
      <formula>NOT(ISERROR(SEARCH("，",L28)))</formula>
    </cfRule>
  </conditionalFormatting>
  <conditionalFormatting sqref="L56">
    <cfRule type="containsText" dxfId="170" priority="183" operator="containsText" text="，">
      <formula>NOT(ISERROR(SEARCH("，",L56)))</formula>
    </cfRule>
  </conditionalFormatting>
  <conditionalFormatting sqref="E70">
    <cfRule type="containsText" dxfId="169" priority="176" operator="containsText" text="，">
      <formula>NOT(ISERROR(SEARCH("，",E70)))</formula>
    </cfRule>
  </conditionalFormatting>
  <conditionalFormatting sqref="L70">
    <cfRule type="containsText" dxfId="168" priority="175" operator="containsText" text="，">
      <formula>NOT(ISERROR(SEARCH("，",L70)))</formula>
    </cfRule>
  </conditionalFormatting>
  <conditionalFormatting sqref="L63">
    <cfRule type="containsText" dxfId="167" priority="158" operator="containsText" text="，">
      <formula>NOT(ISERROR(SEARCH("，",L63)))</formula>
    </cfRule>
  </conditionalFormatting>
  <conditionalFormatting sqref="E36">
    <cfRule type="containsText" dxfId="166" priority="154" operator="containsText" text="，">
      <formula>NOT(ISERROR(SEARCH("，",E36)))</formula>
    </cfRule>
  </conditionalFormatting>
  <conditionalFormatting sqref="L24">
    <cfRule type="containsText" dxfId="165" priority="152" operator="containsText" text="，">
      <formula>NOT(ISERROR(SEARCH("，",L24)))</formula>
    </cfRule>
  </conditionalFormatting>
  <conditionalFormatting sqref="E41">
    <cfRule type="containsText" dxfId="164" priority="151" operator="containsText" text="，">
      <formula>NOT(ISERROR(SEARCH("，",E41)))</formula>
    </cfRule>
  </conditionalFormatting>
  <conditionalFormatting sqref="L41">
    <cfRule type="containsText" dxfId="163" priority="150" operator="containsText" text="，">
      <formula>NOT(ISERROR(SEARCH("，",L41)))</formula>
    </cfRule>
  </conditionalFormatting>
  <conditionalFormatting sqref="L42">
    <cfRule type="containsText" dxfId="162" priority="146" operator="containsText" text="，">
      <formula>NOT(ISERROR(SEARCH("，",L42)))</formula>
    </cfRule>
  </conditionalFormatting>
  <conditionalFormatting sqref="L36">
    <cfRule type="containsText" dxfId="161" priority="145" operator="containsText" text="，">
      <formula>NOT(ISERROR(SEARCH("，",L36)))</formula>
    </cfRule>
  </conditionalFormatting>
  <conditionalFormatting sqref="R160:R165">
    <cfRule type="containsText" dxfId="160" priority="144" operator="containsText" text=" ">
      <formula>NOT(ISERROR(SEARCH(" ",R160)))</formula>
    </cfRule>
  </conditionalFormatting>
  <conditionalFormatting sqref="M162 F161:K162 E163:M165 E160:M160">
    <cfRule type="containsText" dxfId="159" priority="143" operator="containsText" text="，">
      <formula>NOT(ISERROR(SEARCH("，",E160)))</formula>
    </cfRule>
  </conditionalFormatting>
  <conditionalFormatting sqref="E162">
    <cfRule type="containsText" dxfId="158" priority="142" operator="containsText" text="，">
      <formula>NOT(ISERROR(SEARCH("，",E162)))</formula>
    </cfRule>
  </conditionalFormatting>
  <conditionalFormatting sqref="L162">
    <cfRule type="containsText" dxfId="157" priority="141" operator="containsText" text="，">
      <formula>NOT(ISERROR(SEARCH("，",L162)))</formula>
    </cfRule>
  </conditionalFormatting>
  <conditionalFormatting sqref="E161">
    <cfRule type="containsText" dxfId="156" priority="140" operator="containsText" text="，">
      <formula>NOT(ISERROR(SEARCH("，",E161)))</formula>
    </cfRule>
  </conditionalFormatting>
  <conditionalFormatting sqref="M161">
    <cfRule type="containsText" dxfId="155" priority="139" operator="containsText" text="，">
      <formula>NOT(ISERROR(SEARCH("，",M161)))</formula>
    </cfRule>
  </conditionalFormatting>
  <conditionalFormatting sqref="R166">
    <cfRule type="containsText" dxfId="154" priority="138" operator="containsText" text=" ">
      <formula>NOT(ISERROR(SEARCH(" ",R166)))</formula>
    </cfRule>
  </conditionalFormatting>
  <conditionalFormatting sqref="L161">
    <cfRule type="containsText" dxfId="153" priority="137" operator="containsText" text="，">
      <formula>NOT(ISERROR(SEARCH("，",L161)))</formula>
    </cfRule>
  </conditionalFormatting>
  <conditionalFormatting sqref="F166:K166">
    <cfRule type="containsText" dxfId="152" priority="136" operator="containsText" text="，">
      <formula>NOT(ISERROR(SEARCH("，",F166)))</formula>
    </cfRule>
  </conditionalFormatting>
  <conditionalFormatting sqref="E166">
    <cfRule type="containsText" dxfId="151" priority="135" operator="containsText" text="，">
      <formula>NOT(ISERROR(SEARCH("，",E166)))</formula>
    </cfRule>
  </conditionalFormatting>
  <conditionalFormatting sqref="M166">
    <cfRule type="containsText" dxfId="150" priority="134" operator="containsText" text="，">
      <formula>NOT(ISERROR(SEARCH("，",M166)))</formula>
    </cfRule>
  </conditionalFormatting>
  <conditionalFormatting sqref="L166">
    <cfRule type="containsText" dxfId="149" priority="133" operator="containsText" text="，">
      <formula>NOT(ISERROR(SEARCH("，",L166)))</formula>
    </cfRule>
  </conditionalFormatting>
  <conditionalFormatting sqref="F78:K78">
    <cfRule type="containsText" dxfId="148" priority="119" operator="containsText" text="，">
      <formula>NOT(ISERROR(SEARCH("，",F78)))</formula>
    </cfRule>
  </conditionalFormatting>
  <conditionalFormatting sqref="M86">
    <cfRule type="containsText" dxfId="147" priority="113" operator="containsText" text="，">
      <formula>NOT(ISERROR(SEARCH("，",M86)))</formula>
    </cfRule>
  </conditionalFormatting>
  <conditionalFormatting sqref="R90:R94">
    <cfRule type="containsText" dxfId="146" priority="104" operator="containsText" text=" ">
      <formula>NOT(ISERROR(SEARCH(" ",R90)))</formula>
    </cfRule>
  </conditionalFormatting>
  <conditionalFormatting sqref="E77 L77:M77">
    <cfRule type="containsText" dxfId="145" priority="123" operator="containsText" text="，">
      <formula>NOT(ISERROR(SEARCH("，",E77)))</formula>
    </cfRule>
  </conditionalFormatting>
  <conditionalFormatting sqref="H77">
    <cfRule type="containsText" dxfId="144" priority="122" operator="containsText" text="，">
      <formula>NOT(ISERROR(SEARCH("，",H77)))</formula>
    </cfRule>
  </conditionalFormatting>
  <conditionalFormatting sqref="R77">
    <cfRule type="containsText" dxfId="143" priority="121" operator="containsText" text=" ">
      <formula>NOT(ISERROR(SEARCH(" ",R77)))</formula>
    </cfRule>
  </conditionalFormatting>
  <conditionalFormatting sqref="L88">
    <cfRule type="containsText" dxfId="142" priority="106" operator="containsText" text="，">
      <formula>NOT(ISERROR(SEARCH("，",L88)))</formula>
    </cfRule>
  </conditionalFormatting>
  <conditionalFormatting sqref="L86 E86">
    <cfRule type="containsText" dxfId="141" priority="114" operator="containsText" text="，">
      <formula>NOT(ISERROR(SEARCH("，",E86)))</formula>
    </cfRule>
  </conditionalFormatting>
  <conditionalFormatting sqref="I86:K86">
    <cfRule type="containsText" dxfId="140" priority="115" operator="containsText" text="，">
      <formula>NOT(ISERROR(SEARCH("，",I86)))</formula>
    </cfRule>
  </conditionalFormatting>
  <conditionalFormatting sqref="E88">
    <cfRule type="containsText" dxfId="139" priority="107" operator="containsText" text="，">
      <formula>NOT(ISERROR(SEARCH("，",E88)))</formula>
    </cfRule>
  </conditionalFormatting>
  <conditionalFormatting sqref="H87:K87 M87">
    <cfRule type="containsText" dxfId="138" priority="112" operator="containsText" text="，">
      <formula>NOT(ISERROR(SEARCH("，",H87)))</formula>
    </cfRule>
  </conditionalFormatting>
  <conditionalFormatting sqref="E87">
    <cfRule type="containsText" dxfId="137" priority="111" operator="containsText" text="，">
      <formula>NOT(ISERROR(SEARCH("，",E87)))</formula>
    </cfRule>
  </conditionalFormatting>
  <conditionalFormatting sqref="L87">
    <cfRule type="containsText" dxfId="136" priority="110" operator="containsText" text="，">
      <formula>NOT(ISERROR(SEARCH("，",L87)))</formula>
    </cfRule>
  </conditionalFormatting>
  <conditionalFormatting sqref="H88:K88 M88">
    <cfRule type="containsText" dxfId="135" priority="109" operator="containsText" text="，">
      <formula>NOT(ISERROR(SEARCH("，",H88)))</formula>
    </cfRule>
  </conditionalFormatting>
  <conditionalFormatting sqref="R88">
    <cfRule type="containsText" dxfId="134" priority="108" operator="containsText" text=" ">
      <formula>NOT(ISERROR(SEARCH(" ",R88)))</formula>
    </cfRule>
  </conditionalFormatting>
  <conditionalFormatting sqref="E90:E94 H90:H94 J90:M94">
    <cfRule type="containsText" dxfId="133" priority="105" operator="containsText" text="，">
      <formula>NOT(ISERROR(SEARCH("，",E90)))</formula>
    </cfRule>
  </conditionalFormatting>
  <conditionalFormatting sqref="I97:K97">
    <cfRule type="containsText" dxfId="132" priority="103" operator="containsText" text="，">
      <formula>NOT(ISERROR(SEARCH("，",I97)))</formula>
    </cfRule>
  </conditionalFormatting>
  <conditionalFormatting sqref="R97">
    <cfRule type="containsText" dxfId="131" priority="102" operator="containsText" text=" ">
      <formula>NOT(ISERROR(SEARCH(" ",R97)))</formula>
    </cfRule>
  </conditionalFormatting>
  <conditionalFormatting sqref="E97 L97">
    <cfRule type="containsText" dxfId="130" priority="101" operator="containsText" text="，">
      <formula>NOT(ISERROR(SEARCH("，",E97)))</formula>
    </cfRule>
  </conditionalFormatting>
  <conditionalFormatting sqref="M97">
    <cfRule type="containsText" dxfId="129" priority="100" operator="containsText" text="，">
      <formula>NOT(ISERROR(SEARCH("，",M97)))</formula>
    </cfRule>
  </conditionalFormatting>
  <conditionalFormatting sqref="I98:L99 E98:E99 E107 I107:L107 I127:L127 E127">
    <cfRule type="containsText" dxfId="128" priority="99" operator="containsText" text="，">
      <formula>NOT(ISERROR(SEARCH("，",E98)))</formula>
    </cfRule>
  </conditionalFormatting>
  <conditionalFormatting sqref="R98:R99 R107 R127">
    <cfRule type="containsText" dxfId="127" priority="98" operator="containsText" text=" ">
      <formula>NOT(ISERROR(SEARCH(" ",R98)))</formula>
    </cfRule>
  </conditionalFormatting>
  <conditionalFormatting sqref="M98:M99 M107 M127">
    <cfRule type="containsText" dxfId="126" priority="97" operator="containsText" text="，">
      <formula>NOT(ISERROR(SEARCH("，",M98)))</formula>
    </cfRule>
  </conditionalFormatting>
  <conditionalFormatting sqref="R102">
    <cfRule type="containsText" dxfId="125" priority="96" operator="containsText" text=" ">
      <formula>NOT(ISERROR(SEARCH(" ",R102)))</formula>
    </cfRule>
  </conditionalFormatting>
  <conditionalFormatting sqref="I102:K102">
    <cfRule type="containsText" dxfId="124" priority="95" operator="containsText" text="，">
      <formula>NOT(ISERROR(SEARCH("，",I102)))</formula>
    </cfRule>
  </conditionalFormatting>
  <conditionalFormatting sqref="M102">
    <cfRule type="containsText" dxfId="123" priority="93" operator="containsText" text="，">
      <formula>NOT(ISERROR(SEARCH("，",M102)))</formula>
    </cfRule>
  </conditionalFormatting>
  <conditionalFormatting sqref="E102 L102">
    <cfRule type="containsText" dxfId="122" priority="94" operator="containsText" text="，">
      <formula>NOT(ISERROR(SEARCH("，",E102)))</formula>
    </cfRule>
  </conditionalFormatting>
  <conditionalFormatting sqref="M103">
    <cfRule type="containsText" dxfId="121" priority="92" operator="containsText" text="，">
      <formula>NOT(ISERROR(SEARCH("，",M103)))</formula>
    </cfRule>
  </conditionalFormatting>
  <conditionalFormatting sqref="E103">
    <cfRule type="containsText" dxfId="120" priority="91" operator="containsText" text="，">
      <formula>NOT(ISERROR(SEARCH("，",E103)))</formula>
    </cfRule>
  </conditionalFormatting>
  <conditionalFormatting sqref="L103">
    <cfRule type="containsText" dxfId="119" priority="90" operator="containsText" text="，">
      <formula>NOT(ISERROR(SEARCH("，",L103)))</formula>
    </cfRule>
  </conditionalFormatting>
  <conditionalFormatting sqref="R104">
    <cfRule type="containsText" dxfId="118" priority="89" operator="containsText" text=" ">
      <formula>NOT(ISERROR(SEARCH(" ",R104)))</formula>
    </cfRule>
  </conditionalFormatting>
  <conditionalFormatting sqref="E104:M104">
    <cfRule type="containsText" dxfId="117" priority="88" operator="containsText" text="，">
      <formula>NOT(ISERROR(SEARCH("，",E104)))</formula>
    </cfRule>
  </conditionalFormatting>
  <conditionalFormatting sqref="H106">
    <cfRule type="containsText" dxfId="116" priority="84" operator="containsText" text="，">
      <formula>NOT(ISERROR(SEARCH("，",H106)))</formula>
    </cfRule>
  </conditionalFormatting>
  <conditionalFormatting sqref="E106 L106:M106">
    <cfRule type="containsText" dxfId="115" priority="85" operator="containsText" text="，">
      <formula>NOT(ISERROR(SEARCH("，",E106)))</formula>
    </cfRule>
  </conditionalFormatting>
  <conditionalFormatting sqref="R106">
    <cfRule type="containsText" dxfId="114" priority="83" operator="containsText" text=" ">
      <formula>NOT(ISERROR(SEARCH(" ",R106)))</formula>
    </cfRule>
  </conditionalFormatting>
  <conditionalFormatting sqref="R108">
    <cfRule type="containsText" dxfId="113" priority="82" operator="containsText" text=" ">
      <formula>NOT(ISERROR(SEARCH(" ",R108)))</formula>
    </cfRule>
  </conditionalFormatting>
  <conditionalFormatting sqref="E108:M108">
    <cfRule type="containsText" dxfId="112" priority="81" operator="containsText" text="，">
      <formula>NOT(ISERROR(SEARCH("，",E108)))</formula>
    </cfRule>
  </conditionalFormatting>
  <conditionalFormatting sqref="F109:K109">
    <cfRule type="containsText" dxfId="111" priority="75" operator="containsText" text="，">
      <formula>NOT(ISERROR(SEARCH("，",F109)))</formula>
    </cfRule>
  </conditionalFormatting>
  <conditionalFormatting sqref="R110">
    <cfRule type="containsText" dxfId="110" priority="74" operator="containsText" text=" ">
      <formula>NOT(ISERROR(SEARCH(" ",R110)))</formula>
    </cfRule>
  </conditionalFormatting>
  <conditionalFormatting sqref="E110:M111 E112:L113">
    <cfRule type="containsText" dxfId="109" priority="73" operator="containsText" text="，">
      <formula>NOT(ISERROR(SEARCH("，",E110)))</formula>
    </cfRule>
  </conditionalFormatting>
  <conditionalFormatting sqref="I128:L128 E128">
    <cfRule type="containsText" dxfId="108" priority="72" operator="containsText" text="，">
      <formula>NOT(ISERROR(SEARCH("，",E128)))</formula>
    </cfRule>
  </conditionalFormatting>
  <conditionalFormatting sqref="R128">
    <cfRule type="containsText" dxfId="107" priority="71" operator="containsText" text=" ">
      <formula>NOT(ISERROR(SEARCH(" ",R128)))</formula>
    </cfRule>
  </conditionalFormatting>
  <conditionalFormatting sqref="M128">
    <cfRule type="containsText" dxfId="106" priority="70" operator="containsText" text="，">
      <formula>NOT(ISERROR(SEARCH("，",M128)))</formula>
    </cfRule>
  </conditionalFormatting>
  <conditionalFormatting sqref="E129:M129">
    <cfRule type="containsText" dxfId="105" priority="69" operator="containsText" text="，">
      <formula>NOT(ISERROR(SEARCH("，",E129)))</formula>
    </cfRule>
  </conditionalFormatting>
  <conditionalFormatting sqref="R129">
    <cfRule type="containsText" dxfId="104" priority="68" operator="containsText" text=" ">
      <formula>NOT(ISERROR(SEARCH(" ",R129)))</formula>
    </cfRule>
  </conditionalFormatting>
  <conditionalFormatting sqref="R83">
    <cfRule type="containsText" dxfId="103" priority="60" operator="containsText" text=" ">
      <formula>NOT(ISERROR(SEARCH(" ",R83)))</formula>
    </cfRule>
  </conditionalFormatting>
  <conditionalFormatting sqref="E83:M83">
    <cfRule type="containsText" dxfId="102" priority="59" operator="containsText" text="，">
      <formula>NOT(ISERROR(SEARCH("，",E83)))</formula>
    </cfRule>
  </conditionalFormatting>
  <conditionalFormatting sqref="F85:K85">
    <cfRule type="containsText" dxfId="101" priority="58" operator="containsText" text="，">
      <formula>NOT(ISERROR(SEARCH("，",F85)))</formula>
    </cfRule>
  </conditionalFormatting>
  <conditionalFormatting sqref="E85">
    <cfRule type="containsText" dxfId="100" priority="57" operator="containsText" text="，">
      <formula>NOT(ISERROR(SEARCH("，",E85)))</formula>
    </cfRule>
  </conditionalFormatting>
  <conditionalFormatting sqref="L85">
    <cfRule type="containsText" dxfId="99" priority="56" operator="containsText" text="，">
      <formula>NOT(ISERROR(SEARCH("，",L85)))</formula>
    </cfRule>
  </conditionalFormatting>
  <conditionalFormatting sqref="F130:H130 M130">
    <cfRule type="containsText" dxfId="98" priority="55" operator="containsText" text="，">
      <formula>NOT(ISERROR(SEARCH("，",F130)))</formula>
    </cfRule>
  </conditionalFormatting>
  <conditionalFormatting sqref="R130">
    <cfRule type="containsText" dxfId="97" priority="54" operator="containsText" text=" ">
      <formula>NOT(ISERROR(SEARCH(" ",R130)))</formula>
    </cfRule>
  </conditionalFormatting>
  <conditionalFormatting sqref="I130:K130">
    <cfRule type="containsText" dxfId="96" priority="53" operator="containsText" text="，">
      <formula>NOT(ISERROR(SEARCH("，",I130)))</formula>
    </cfRule>
  </conditionalFormatting>
  <conditionalFormatting sqref="E130">
    <cfRule type="containsText" dxfId="95" priority="52" operator="containsText" text="，">
      <formula>NOT(ISERROR(SEARCH("，",E130)))</formula>
    </cfRule>
  </conditionalFormatting>
  <conditionalFormatting sqref="L130">
    <cfRule type="containsText" dxfId="94" priority="51" operator="containsText" text="，">
      <formula>NOT(ISERROR(SEARCH("，",L130)))</formula>
    </cfRule>
  </conditionalFormatting>
  <conditionalFormatting sqref="I132:K132">
    <cfRule type="containsText" dxfId="93" priority="50" operator="containsText" text="，">
      <formula>NOT(ISERROR(SEARCH("，",I132)))</formula>
    </cfRule>
  </conditionalFormatting>
  <conditionalFormatting sqref="E132 L132">
    <cfRule type="containsText" dxfId="92" priority="49" operator="containsText" text="，">
      <formula>NOT(ISERROR(SEARCH("，",E132)))</formula>
    </cfRule>
  </conditionalFormatting>
  <conditionalFormatting sqref="M132">
    <cfRule type="containsText" dxfId="91" priority="48" operator="containsText" text="，">
      <formula>NOT(ISERROR(SEARCH("，",M132)))</formula>
    </cfRule>
  </conditionalFormatting>
  <conditionalFormatting sqref="I133:K133">
    <cfRule type="containsText" dxfId="90" priority="47" operator="containsText" text="，">
      <formula>NOT(ISERROR(SEARCH("，",I133)))</formula>
    </cfRule>
  </conditionalFormatting>
  <conditionalFormatting sqref="E133 L133">
    <cfRule type="containsText" dxfId="89" priority="46" operator="containsText" text="，">
      <formula>NOT(ISERROR(SEARCH("，",E133)))</formula>
    </cfRule>
  </conditionalFormatting>
  <conditionalFormatting sqref="M133">
    <cfRule type="containsText" dxfId="88" priority="45" operator="containsText" text="，">
      <formula>NOT(ISERROR(SEARCH("，",M133)))</formula>
    </cfRule>
  </conditionalFormatting>
  <conditionalFormatting sqref="H135:K135 M135">
    <cfRule type="containsText" dxfId="87" priority="44" operator="containsText" text="，">
      <formula>NOT(ISERROR(SEARCH("，",H135)))</formula>
    </cfRule>
  </conditionalFormatting>
  <conditionalFormatting sqref="R135">
    <cfRule type="containsText" dxfId="86" priority="43" operator="containsText" text=" ">
      <formula>NOT(ISERROR(SEARCH(" ",R135)))</formula>
    </cfRule>
  </conditionalFormatting>
  <conditionalFormatting sqref="E135">
    <cfRule type="containsText" dxfId="85" priority="42" operator="containsText" text="，">
      <formula>NOT(ISERROR(SEARCH("，",E135)))</formula>
    </cfRule>
  </conditionalFormatting>
  <conditionalFormatting sqref="L135">
    <cfRule type="containsText" dxfId="84" priority="41" operator="containsText" text="，">
      <formula>NOT(ISERROR(SEARCH("，",L135)))</formula>
    </cfRule>
  </conditionalFormatting>
  <conditionalFormatting sqref="H136:K136 M136">
    <cfRule type="containsText" dxfId="83" priority="40" operator="containsText" text="，">
      <formula>NOT(ISERROR(SEARCH("，",H136)))</formula>
    </cfRule>
  </conditionalFormatting>
  <conditionalFormatting sqref="R136">
    <cfRule type="containsText" dxfId="82" priority="39" operator="containsText" text=" ">
      <formula>NOT(ISERROR(SEARCH(" ",R136)))</formula>
    </cfRule>
  </conditionalFormatting>
  <conditionalFormatting sqref="E136">
    <cfRule type="containsText" dxfId="81" priority="38" operator="containsText" text="，">
      <formula>NOT(ISERROR(SEARCH("，",E136)))</formula>
    </cfRule>
  </conditionalFormatting>
  <conditionalFormatting sqref="L136">
    <cfRule type="containsText" dxfId="80" priority="37" operator="containsText" text="，">
      <formula>NOT(ISERROR(SEARCH("，",L136)))</formula>
    </cfRule>
  </conditionalFormatting>
  <conditionalFormatting sqref="L137">
    <cfRule type="containsText" dxfId="79" priority="29" operator="containsText" text="，">
      <formula>NOT(ISERROR(SEARCH("，",L137)))</formula>
    </cfRule>
  </conditionalFormatting>
  <conditionalFormatting sqref="L100">
    <cfRule type="containsText" dxfId="78" priority="24" operator="containsText" text="，">
      <formula>NOT(ISERROR(SEARCH("，",L100)))</formula>
    </cfRule>
  </conditionalFormatting>
  <conditionalFormatting sqref="E105:M105">
    <cfRule type="containsText" dxfId="77" priority="18" operator="containsText" text="，">
      <formula>NOT(ISERROR(SEARCH("，",E105)))</formula>
    </cfRule>
  </conditionalFormatting>
  <conditionalFormatting sqref="R137">
    <cfRule type="containsText" dxfId="76" priority="32" operator="containsText" text=" ">
      <formula>NOT(ISERROR(SEARCH(" ",R137)))</formula>
    </cfRule>
  </conditionalFormatting>
  <conditionalFormatting sqref="F137:K137">
    <cfRule type="containsText" dxfId="75" priority="31" operator="containsText" text="，">
      <formula>NOT(ISERROR(SEARCH("，",F137)))</formula>
    </cfRule>
  </conditionalFormatting>
  <conditionalFormatting sqref="E137">
    <cfRule type="containsText" dxfId="74" priority="30" operator="containsText" text="，">
      <formula>NOT(ISERROR(SEARCH("，",E137)))</formula>
    </cfRule>
  </conditionalFormatting>
  <conditionalFormatting sqref="R100">
    <cfRule type="containsText" dxfId="73" priority="27" operator="containsText" text=" ">
      <formula>NOT(ISERROR(SEARCH(" ",R100)))</formula>
    </cfRule>
  </conditionalFormatting>
  <conditionalFormatting sqref="I100:K100">
    <cfRule type="containsText" dxfId="72" priority="26" operator="containsText" text="，">
      <formula>NOT(ISERROR(SEARCH("，",I100)))</formula>
    </cfRule>
  </conditionalFormatting>
  <conditionalFormatting sqref="E100">
    <cfRule type="containsText" dxfId="71" priority="25" operator="containsText" text="，">
      <formula>NOT(ISERROR(SEARCH("，",E100)))</formula>
    </cfRule>
  </conditionalFormatting>
  <conditionalFormatting sqref="F100:H100 M100">
    <cfRule type="containsText" dxfId="70" priority="28" operator="containsText" text="，">
      <formula>NOT(ISERROR(SEARCH("，",F100)))</formula>
    </cfRule>
  </conditionalFormatting>
  <conditionalFormatting sqref="R101">
    <cfRule type="containsText" dxfId="69" priority="21" operator="containsText" text=" ">
      <formula>NOT(ISERROR(SEARCH(" ",R101)))</formula>
    </cfRule>
  </conditionalFormatting>
  <conditionalFormatting sqref="E101:M101">
    <cfRule type="containsText" dxfId="68" priority="20" operator="containsText" text="，">
      <formula>NOT(ISERROR(SEARCH("，",E101)))</formula>
    </cfRule>
  </conditionalFormatting>
  <conditionalFormatting sqref="E96:M96">
    <cfRule type="containsText" dxfId="67" priority="23" operator="containsText" text="，">
      <formula>NOT(ISERROR(SEARCH("，",E96)))</formula>
    </cfRule>
  </conditionalFormatting>
  <conditionalFormatting sqref="R96">
    <cfRule type="containsText" dxfId="66" priority="22" operator="containsText" text=" ">
      <formula>NOT(ISERROR(SEARCH(" ",R96)))</formula>
    </cfRule>
  </conditionalFormatting>
  <conditionalFormatting sqref="R105">
    <cfRule type="containsText" dxfId="65" priority="19" operator="containsText" text=" ">
      <formula>NOT(ISERROR(SEARCH(" ",R105)))</formula>
    </cfRule>
  </conditionalFormatting>
  <conditionalFormatting sqref="F126:K126 F119:K119 F125:M125 E116:M118 E120:E125 F120:L124">
    <cfRule type="containsText" dxfId="64" priority="14" operator="containsText" text="，">
      <formula>NOT(ISERROR(SEARCH("，",E116)))</formula>
    </cfRule>
  </conditionalFormatting>
  <conditionalFormatting sqref="M126">
    <cfRule type="containsText" dxfId="63" priority="13" operator="containsText" text="，">
      <formula>NOT(ISERROR(SEARCH("，",M126)))</formula>
    </cfRule>
  </conditionalFormatting>
  <conditionalFormatting sqref="M119:M121 M123:M124">
    <cfRule type="containsText" dxfId="62" priority="12" operator="containsText" text="，">
      <formula>NOT(ISERROR(SEARCH("，",M119)))</formula>
    </cfRule>
  </conditionalFormatting>
  <conditionalFormatting sqref="E126">
    <cfRule type="containsText" dxfId="61" priority="11" operator="containsText" text="，">
      <formula>NOT(ISERROR(SEARCH("，",E126)))</formula>
    </cfRule>
  </conditionalFormatting>
  <conditionalFormatting sqref="L126">
    <cfRule type="containsText" dxfId="60" priority="10" operator="containsText" text="，">
      <formula>NOT(ISERROR(SEARCH("，",L126)))</formula>
    </cfRule>
  </conditionalFormatting>
  <conditionalFormatting sqref="L119">
    <cfRule type="containsText" dxfId="59" priority="9" operator="containsText" text="，">
      <formula>NOT(ISERROR(SEARCH("，",L119)))</formula>
    </cfRule>
  </conditionalFormatting>
  <conditionalFormatting sqref="E119">
    <cfRule type="containsText" dxfId="58" priority="8" operator="containsText" text="，">
      <formula>NOT(ISERROR(SEARCH("，",E119)))</formula>
    </cfRule>
  </conditionalFormatting>
  <conditionalFormatting sqref="M122">
    <cfRule type="containsText" dxfId="57" priority="7" operator="containsText" text="，">
      <formula>NOT(ISERROR(SEARCH("，",M122)))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2019-02-18T03:19:02Z</dcterms:modified>
</cp:coreProperties>
</file>