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30" windowWidth="28695" windowHeight="127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2" i="1"/>
  <c r="R3" i="1" l="1"/>
  <c r="S3" i="1"/>
  <c r="R4" i="1"/>
  <c r="S4" i="1"/>
  <c r="R5" i="1"/>
  <c r="S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C17" i="1" l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VIP等级
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
累计充值N信用点成为VIPN（只通过充值方式增加）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 xml:space="preserve">提升家园资源产量百分比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购买体力次数
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额外增加造飞船图纸暴击概率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减少建筑升级时间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补签次数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增加每日信用点抽奖次数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增加图纸研发队列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VIP免费礼包等级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VIP专属礼包等级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1：永久开启付费建筑队列（做不了，不做)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>Administrator:
增加BUFF(预留，暂无）</t>
        </r>
      </text>
    </comment>
    <comment ref="N1" authorId="1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礼包奖励物品集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礼包奖励物品数量集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VIP购买礼包物品集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VIP购买礼包物品数量集</t>
        </r>
      </text>
    </comment>
    <comment ref="R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原价（信用点）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现价（信用点）</t>
        </r>
      </text>
    </comment>
    <comment ref="T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建筑免费时间
秒</t>
        </r>
      </text>
    </commen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VIP好友领取的体力次数</t>
        </r>
      </text>
    </comment>
  </commentList>
</comments>
</file>

<file path=xl/connections.xml><?xml version="1.0" encoding="utf-8"?>
<connections xmlns="http://schemas.openxmlformats.org/spreadsheetml/2006/main">
  <connection id="1" name="ActivityChange" type="4" refreshedVersion="2" background="1" saveData="1">
    <webPr xml="1" sourceData="1" parsePre="1" consecutive="1" xl2000="1" url="G:\xingzhan\新建文件夹\ActivityChange.xml" htmlTables="1" htmlFormat="all"/>
  </connection>
</connections>
</file>

<file path=xl/sharedStrings.xml><?xml version="1.0" encoding="utf-8"?>
<sst xmlns="http://schemas.openxmlformats.org/spreadsheetml/2006/main" count="101" uniqueCount="75">
  <si>
    <t>MONEY</t>
    <phoneticPr fontId="3" type="noConversion"/>
  </si>
  <si>
    <r>
      <t>Q</t>
    </r>
    <r>
      <rPr>
        <sz val="11"/>
        <color theme="1"/>
        <rFont val="宋体"/>
        <family val="3"/>
        <charset val="134"/>
        <scheme val="minor"/>
      </rPr>
      <t>UEUE</t>
    </r>
    <phoneticPr fontId="3" type="noConversion"/>
  </si>
  <si>
    <t>ID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</si>
  <si>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WARD</t>
    </r>
    <phoneticPr fontId="3" type="noConversion"/>
  </si>
  <si>
    <t>AWARD_NUM</t>
    <phoneticPr fontId="3" type="noConversion"/>
  </si>
  <si>
    <t>PACKS</t>
    <phoneticPr fontId="3" type="noConversion"/>
  </si>
  <si>
    <t>PACKS_NUM</t>
    <phoneticPr fontId="3" type="noConversion"/>
  </si>
  <si>
    <r>
      <t>P</t>
    </r>
    <r>
      <rPr>
        <sz val="11"/>
        <color theme="1"/>
        <rFont val="宋体"/>
        <family val="3"/>
        <charset val="134"/>
        <scheme val="minor"/>
      </rPr>
      <t>RICE</t>
    </r>
    <phoneticPr fontId="3" type="noConversion"/>
  </si>
  <si>
    <t>SHOW_PRICE</t>
    <phoneticPr fontId="3" type="noConversion"/>
  </si>
  <si>
    <t>STRENGTH_TIMES</t>
    <phoneticPr fontId="3" type="noConversion"/>
  </si>
  <si>
    <t>RESIGN</t>
    <phoneticPr fontId="3" type="noConversion"/>
  </si>
  <si>
    <t>TECHNOLOGY</t>
    <phoneticPr fontId="3" type="noConversion"/>
  </si>
  <si>
    <t>3001,11001,2010105,2020105,2030105,2040105</t>
  </si>
  <si>
    <t>50000,30,1,1,1,1</t>
  </si>
  <si>
    <t>3001,11001,2010110,2020110,2030110,2040110</t>
  </si>
  <si>
    <t>100000,30,1,1,1,1</t>
  </si>
  <si>
    <t>3001,11001,2010115,2020115,2030115,2040115</t>
  </si>
  <si>
    <t>150000,90,1,1,1,1</t>
  </si>
  <si>
    <t>3001,11001,3010110,3020110,3030110,3040110</t>
  </si>
  <si>
    <t>200000,200,1,1,1,1</t>
  </si>
  <si>
    <t>3001,11001,3010115,3020115,3030115,3040115</t>
  </si>
  <si>
    <t>250000,200,1,1,1,1</t>
  </si>
  <si>
    <t>3001,11001,3010120,3020120,3030120,3040120,901902</t>
  </si>
  <si>
    <t>300000,365,1,1,1,1,1</t>
  </si>
  <si>
    <t>3001,11001,3010130,3020130,3030130,3040130,901902,900202</t>
  </si>
  <si>
    <t>350000,365,1,1,1,1,1,1</t>
  </si>
  <si>
    <t>3001,11001,3010140,3020140,3030140,3040140,901903,20001</t>
  </si>
  <si>
    <t>400000,1000,1,1,1,1,1,5</t>
  </si>
  <si>
    <t>3001,11001,4010150,4020150,4030150,4040150,901903,900203,20001</t>
  </si>
  <si>
    <t>450000,1000,1,1,1,1,1,1,10</t>
  </si>
  <si>
    <t>3001,11001,5010150,5020150,5030150,5040150,901904,20001</t>
  </si>
  <si>
    <t>500000,2500,1,1,1,1,1,15</t>
  </si>
  <si>
    <t>3001,11001,5020160,901905,20001</t>
  </si>
  <si>
    <t>550000,2500,1,1,20</t>
  </si>
  <si>
    <t>3001,11001,5010160,901906,20001</t>
  </si>
  <si>
    <t>600000,4000,1,1,25</t>
  </si>
  <si>
    <t>3001,11001,5030160,901907,20001</t>
  </si>
  <si>
    <t>650000,4000,1,1,30</t>
  </si>
  <si>
    <t>3001,11001,5040160,901908,20001</t>
  </si>
  <si>
    <t>700000,4000,1,1,35</t>
  </si>
  <si>
    <t>3001,11001,5010260,5020260,5030260,5040260,901909,20001</t>
  </si>
  <si>
    <t>750000,4000,1,1,1,1,1,40</t>
  </si>
  <si>
    <t>REDUCE_BUILDING_TIME</t>
  </si>
  <si>
    <t>EXTRA_HOME_RESOURCE</t>
  </si>
  <si>
    <t>0,</t>
    <phoneticPr fontId="3" type="noConversion"/>
  </si>
  <si>
    <t>BUILDING_FREE</t>
  </si>
  <si>
    <t>EXTRA_BLUEPRINT_CRIT</t>
    <phoneticPr fontId="3" type="noConversion"/>
  </si>
  <si>
    <t>CREDIT_LOTTERY_TIMES</t>
    <phoneticPr fontId="3" type="noConversion"/>
  </si>
  <si>
    <t>VIP_FREE_PACK_LEVEL</t>
    <phoneticPr fontId="3" type="noConversion"/>
  </si>
  <si>
    <t>VIP_PERSONAL_PACK_LEVEL2</t>
    <phoneticPr fontId="3" type="noConversion"/>
  </si>
  <si>
    <t>3001,11001</t>
  </si>
  <si>
    <t>50000,30</t>
  </si>
  <si>
    <t>13005,3001,13001,1001</t>
  </si>
  <si>
    <t>10,1000,3,2000</t>
  </si>
  <si>
    <t>30,100000,6,10000</t>
  </si>
  <si>
    <t>70,200000,10,20000</t>
  </si>
  <si>
    <t>130,300000,20,30000</t>
  </si>
  <si>
    <t>13005,3001,13002,1001</t>
  </si>
  <si>
    <t>210,400000,10,40000</t>
  </si>
  <si>
    <t>310,500000,20,50000</t>
  </si>
  <si>
    <t>13005,3001,11001,13002,1001</t>
  </si>
  <si>
    <t>430,600000,30,30,60000</t>
  </si>
  <si>
    <t>570,700000,40,40,70000</t>
  </si>
  <si>
    <t>13005,3001,11001,13003,1001</t>
  </si>
  <si>
    <t>730,800000,25,25,80000</t>
  </si>
  <si>
    <t>910,900000,40,40,90000</t>
  </si>
  <si>
    <t>1110,1000000,50,50,100000</t>
  </si>
  <si>
    <t>1330,1100000,60,60,110000</t>
  </si>
  <si>
    <t>13005,3001,11001,13004,1001</t>
  </si>
  <si>
    <t>1570,1200000,70,70,120000</t>
  </si>
  <si>
    <t>1830,1300000,80,80,130000</t>
  </si>
  <si>
    <t>2110,1400000,90,90,140000</t>
  </si>
  <si>
    <t>2410,1500000,100,100,150000</t>
  </si>
  <si>
    <t>ADD_RAD_QUEUE</t>
    <phoneticPr fontId="3" type="noConversion"/>
  </si>
  <si>
    <t>FRIEND_STRENGTH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</si>
</sst>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0" fontId="2" fillId="0" borderId="0" xfId="0" applyFont="1">
      <alignment vertical="center"/>
    </xf>
  </cellXfs>
  <cellStyles count="1">
    <cellStyle name="常规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NAME" nillable="true" type="xsd:string"/>
                  <xsd:element form="unqualified" minOccurs="0" name="MEMO" nillable="true" type="xsd:string"/>
                  <xsd:element form="unqualified" minOccurs="0" name="ICON" nillable="true" type="xsd:integer"/>
                  <xsd:element form="unqualified" minOccurs="0" name="GROUP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942975</xdr:colOff>
          <xdr:row>19</xdr:row>
          <xdr:rowOff>142875</xdr:rowOff>
        </xdr:from>
        <xdr:to>
          <xdr:col>4</xdr:col>
          <xdr:colOff>923925</xdr:colOff>
          <xdr:row>22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U17" totalsRowShown="0" dataDxfId="21">
  <autoFilter ref="A1:U17"/>
  <tableColumns count="21">
    <tableColumn id="6" name="ID" dataDxfId="20"/>
    <tableColumn id="5" name="MONEY" dataDxfId="19"/>
    <tableColumn id="2" name="EXTRA_HOME_RESOURCE" dataDxfId="18">
      <calculatedColumnFormula>A2*2</calculatedColumnFormula>
    </tableColumn>
    <tableColumn id="3" name="STRENGTH_TIMES" dataDxfId="17"/>
    <tableColumn id="15" name="EXTRA_BLUEPRINT_CRIT" dataDxfId="16"/>
    <tableColumn id="16" name="REDUCE_BUILDING_TIME" dataDxfId="15"/>
    <tableColumn id="19" name="RESIGN" dataDxfId="14"/>
    <tableColumn id="18" name="CREDIT_LOTTERY_TIMES" dataDxfId="13">
      <calculatedColumnFormula>50+10*A2</calculatedColumnFormula>
    </tableColumn>
    <tableColumn id="17" name="ADD_RAD_QUEUE" dataDxfId="12"/>
    <tableColumn id="21" name="VIP_FREE_PACK_LEVEL" dataDxfId="11">
      <calculatedColumnFormula>A2</calculatedColumnFormula>
    </tableColumn>
    <tableColumn id="20" name="VIP_PERSONAL_PACK_LEVEL2" dataDxfId="10">
      <calculatedColumnFormula>A2</calculatedColumnFormula>
    </tableColumn>
    <tableColumn id="7" name="QUEUE" dataDxfId="9"/>
    <tableColumn id="8" name="TECHNOLOGY" dataDxfId="8"/>
    <tableColumn id="10" name="AWARD" dataDxfId="7"/>
    <tableColumn id="11" name="AWARD_NUM" dataDxfId="6"/>
    <tableColumn id="12" name="PACKS" dataDxfId="5"/>
    <tableColumn id="13" name="PACKS_NUM" dataDxfId="4"/>
    <tableColumn id="1" name="SHOW_PRICE" dataDxfId="3">
      <calculatedColumnFormula>200*A2</calculatedColumnFormula>
    </tableColumn>
    <tableColumn id="14" name="PRICE" dataDxfId="2">
      <calculatedColumnFormula>100*A2</calculatedColumnFormula>
    </tableColumn>
    <tableColumn id="4" name="BUILDING_FREE" dataDxfId="1"/>
    <tableColumn id="9" name="FRIEND_STRENGTH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topLeftCell="P1" workbookViewId="0">
      <selection activeCell="W6" sqref="W6"/>
    </sheetView>
  </sheetViews>
  <sheetFormatPr defaultColWidth="9" defaultRowHeight="13.5" x14ac:dyDescent="0.15"/>
  <cols>
    <col min="1" max="1" width="10.25" style="1" bestFit="1" customWidth="1"/>
    <col min="2" max="2" width="11.375" style="1" bestFit="1" customWidth="1"/>
    <col min="3" max="3" width="23.5" style="1" bestFit="1" customWidth="1"/>
    <col min="4" max="4" width="22.25" style="1" bestFit="1" customWidth="1"/>
    <col min="5" max="10" width="22.25" style="1" customWidth="1"/>
    <col min="11" max="11" width="29.75" style="1" bestFit="1" customWidth="1"/>
    <col min="12" max="12" width="14.75" style="1" bestFit="1" customWidth="1"/>
    <col min="13" max="13" width="19.375" style="1" bestFit="1" customWidth="1"/>
    <col min="14" max="14" width="32.75" style="1" bestFit="1" customWidth="1"/>
    <col min="15" max="15" width="44.125" style="5" customWidth="1"/>
    <col min="16" max="16" width="65.875" style="1" customWidth="1"/>
    <col min="17" max="17" width="29.375" style="1" bestFit="1" customWidth="1"/>
    <col min="18" max="18" width="17.25" style="1" bestFit="1" customWidth="1"/>
    <col min="19" max="19" width="12.875" style="1" customWidth="1"/>
    <col min="20" max="20" width="21" style="1" bestFit="1" customWidth="1"/>
    <col min="21" max="21" width="20.125" style="1" customWidth="1"/>
    <col min="22" max="16384" width="9" style="1"/>
  </cols>
  <sheetData>
    <row r="1" spans="1:21" ht="23.25" customHeight="1" x14ac:dyDescent="0.15">
      <c r="A1" s="3" t="s">
        <v>2</v>
      </c>
      <c r="B1" s="2" t="s">
        <v>0</v>
      </c>
      <c r="C1" s="2" t="s">
        <v>43</v>
      </c>
      <c r="D1" s="2" t="s">
        <v>9</v>
      </c>
      <c r="E1" s="2" t="s">
        <v>46</v>
      </c>
      <c r="F1" s="2" t="s">
        <v>42</v>
      </c>
      <c r="G1" s="2" t="s">
        <v>10</v>
      </c>
      <c r="H1" s="2" t="s">
        <v>47</v>
      </c>
      <c r="I1" s="2" t="s">
        <v>73</v>
      </c>
      <c r="J1" s="2" t="s">
        <v>48</v>
      </c>
      <c r="K1" s="2" t="s">
        <v>49</v>
      </c>
      <c r="L1" s="2" t="s">
        <v>1</v>
      </c>
      <c r="M1" s="2" t="s">
        <v>11</v>
      </c>
      <c r="N1" s="4" t="s">
        <v>3</v>
      </c>
      <c r="O1" s="2" t="s">
        <v>4</v>
      </c>
      <c r="P1" s="2" t="s">
        <v>5</v>
      </c>
      <c r="Q1" s="2" t="s">
        <v>6</v>
      </c>
      <c r="R1" s="2" t="s">
        <v>8</v>
      </c>
      <c r="S1" s="2" t="s">
        <v>7</v>
      </c>
      <c r="T1" s="7" t="s">
        <v>45</v>
      </c>
      <c r="U1" s="7" t="s">
        <v>74</v>
      </c>
    </row>
    <row r="2" spans="1:21" x14ac:dyDescent="0.15">
      <c r="A2" s="2">
        <v>0</v>
      </c>
      <c r="B2" s="2">
        <v>0</v>
      </c>
      <c r="C2" s="2">
        <f t="shared" ref="C2:C17" si="0">A2*2</f>
        <v>0</v>
      </c>
      <c r="D2" s="2">
        <v>1</v>
      </c>
      <c r="E2" s="2">
        <v>0</v>
      </c>
      <c r="F2" s="2">
        <v>0</v>
      </c>
      <c r="G2" s="2">
        <v>1</v>
      </c>
      <c r="H2" s="2">
        <f>50+10*A2</f>
        <v>50</v>
      </c>
      <c r="I2" s="2">
        <v>0</v>
      </c>
      <c r="J2" s="2">
        <f t="shared" ref="J2:J17" si="1">A2</f>
        <v>0</v>
      </c>
      <c r="K2" s="2">
        <f t="shared" ref="K2:K17" si="2">A2</f>
        <v>0</v>
      </c>
      <c r="L2" s="2">
        <v>0</v>
      </c>
      <c r="M2" s="4" t="s">
        <v>44</v>
      </c>
      <c r="N2" s="4" t="s">
        <v>52</v>
      </c>
      <c r="O2" s="4" t="s">
        <v>53</v>
      </c>
      <c r="P2" s="4" t="s">
        <v>50</v>
      </c>
      <c r="Q2" s="4" t="s">
        <v>51</v>
      </c>
      <c r="R2" s="2">
        <v>20</v>
      </c>
      <c r="S2" s="2">
        <v>10</v>
      </c>
      <c r="T2" s="1">
        <v>180</v>
      </c>
      <c r="U2" s="1">
        <v>20</v>
      </c>
    </row>
    <row r="3" spans="1:21" x14ac:dyDescent="0.15">
      <c r="A3" s="2">
        <v>1</v>
      </c>
      <c r="B3" s="2">
        <v>60</v>
      </c>
      <c r="C3" s="2">
        <f t="shared" si="0"/>
        <v>2</v>
      </c>
      <c r="D3" s="2">
        <v>2</v>
      </c>
      <c r="E3" s="2">
        <v>4</v>
      </c>
      <c r="F3" s="2">
        <v>120</v>
      </c>
      <c r="G3" s="2">
        <v>1</v>
      </c>
      <c r="H3" s="2">
        <f t="shared" ref="H3:H17" si="3">50+10*A3</f>
        <v>60</v>
      </c>
      <c r="I3" s="2">
        <v>1</v>
      </c>
      <c r="J3" s="2">
        <f t="shared" si="1"/>
        <v>1</v>
      </c>
      <c r="K3" s="2">
        <f t="shared" si="2"/>
        <v>1</v>
      </c>
      <c r="L3" s="2">
        <v>0</v>
      </c>
      <c r="M3" s="4" t="s">
        <v>44</v>
      </c>
      <c r="N3" s="4" t="s">
        <v>52</v>
      </c>
      <c r="O3" s="2" t="s">
        <v>54</v>
      </c>
      <c r="P3" s="6" t="s">
        <v>12</v>
      </c>
      <c r="Q3" s="2" t="s">
        <v>13</v>
      </c>
      <c r="R3" s="2">
        <f t="shared" ref="R3:R17" si="4">200*A3</f>
        <v>200</v>
      </c>
      <c r="S3" s="2">
        <f t="shared" ref="S3:S17" si="5">100*A3</f>
        <v>100</v>
      </c>
      <c r="T3" s="1">
        <v>180</v>
      </c>
      <c r="U3" s="1">
        <v>20</v>
      </c>
    </row>
    <row r="4" spans="1:21" x14ac:dyDescent="0.15">
      <c r="A4" s="2">
        <v>2</v>
      </c>
      <c r="B4" s="2">
        <v>300</v>
      </c>
      <c r="C4" s="2">
        <f t="shared" si="0"/>
        <v>4</v>
      </c>
      <c r="D4" s="2">
        <v>2</v>
      </c>
      <c r="E4" s="2">
        <v>8</v>
      </c>
      <c r="F4" s="2">
        <v>360</v>
      </c>
      <c r="G4" s="2">
        <v>1</v>
      </c>
      <c r="H4" s="2">
        <f t="shared" si="3"/>
        <v>70</v>
      </c>
      <c r="I4" s="2">
        <v>1</v>
      </c>
      <c r="J4" s="2">
        <f t="shared" si="1"/>
        <v>2</v>
      </c>
      <c r="K4" s="2">
        <f t="shared" si="2"/>
        <v>2</v>
      </c>
      <c r="L4" s="2">
        <v>0</v>
      </c>
      <c r="M4" s="4" t="s">
        <v>44</v>
      </c>
      <c r="N4" s="4" t="s">
        <v>52</v>
      </c>
      <c r="O4" s="2" t="s">
        <v>55</v>
      </c>
      <c r="P4" s="6" t="s">
        <v>14</v>
      </c>
      <c r="Q4" s="2" t="s">
        <v>15</v>
      </c>
      <c r="R4" s="2">
        <f t="shared" si="4"/>
        <v>400</v>
      </c>
      <c r="S4" s="2">
        <f t="shared" si="5"/>
        <v>200</v>
      </c>
      <c r="T4" s="1">
        <v>180</v>
      </c>
      <c r="U4" s="1">
        <v>21</v>
      </c>
    </row>
    <row r="5" spans="1:21" x14ac:dyDescent="0.15">
      <c r="A5" s="2">
        <v>3</v>
      </c>
      <c r="B5" s="2">
        <v>1000</v>
      </c>
      <c r="C5" s="2">
        <f t="shared" si="0"/>
        <v>6</v>
      </c>
      <c r="D5" s="2">
        <v>2</v>
      </c>
      <c r="E5" s="2">
        <v>12</v>
      </c>
      <c r="F5" s="2">
        <v>720</v>
      </c>
      <c r="G5" s="2">
        <v>2</v>
      </c>
      <c r="H5" s="2">
        <f t="shared" si="3"/>
        <v>80</v>
      </c>
      <c r="I5" s="2">
        <v>1</v>
      </c>
      <c r="J5" s="2">
        <f t="shared" si="1"/>
        <v>3</v>
      </c>
      <c r="K5" s="2">
        <f t="shared" si="2"/>
        <v>3</v>
      </c>
      <c r="L5" s="2">
        <v>0</v>
      </c>
      <c r="M5" s="4" t="s">
        <v>44</v>
      </c>
      <c r="N5" s="4" t="s">
        <v>52</v>
      </c>
      <c r="O5" s="2" t="s">
        <v>56</v>
      </c>
      <c r="P5" s="6" t="s">
        <v>16</v>
      </c>
      <c r="Q5" s="2" t="s">
        <v>17</v>
      </c>
      <c r="R5" s="2">
        <f t="shared" si="4"/>
        <v>600</v>
      </c>
      <c r="S5" s="2">
        <f t="shared" si="5"/>
        <v>300</v>
      </c>
      <c r="T5" s="1">
        <v>180</v>
      </c>
      <c r="U5" s="1">
        <v>21</v>
      </c>
    </row>
    <row r="6" spans="1:21" x14ac:dyDescent="0.15">
      <c r="A6" s="2">
        <v>4</v>
      </c>
      <c r="B6" s="2">
        <v>2000</v>
      </c>
      <c r="C6" s="2">
        <f t="shared" si="0"/>
        <v>8</v>
      </c>
      <c r="D6" s="2">
        <v>3</v>
      </c>
      <c r="E6" s="2">
        <v>16</v>
      </c>
      <c r="F6" s="2">
        <v>1200</v>
      </c>
      <c r="G6" s="2">
        <v>2</v>
      </c>
      <c r="H6" s="2">
        <f t="shared" si="3"/>
        <v>90</v>
      </c>
      <c r="I6" s="2">
        <v>1</v>
      </c>
      <c r="J6" s="2">
        <f t="shared" si="1"/>
        <v>4</v>
      </c>
      <c r="K6" s="2">
        <f t="shared" si="2"/>
        <v>4</v>
      </c>
      <c r="L6" s="2">
        <v>0</v>
      </c>
      <c r="M6" s="4" t="s">
        <v>44</v>
      </c>
      <c r="N6" s="4" t="s">
        <v>57</v>
      </c>
      <c r="O6" s="2" t="s">
        <v>58</v>
      </c>
      <c r="P6" s="6" t="s">
        <v>18</v>
      </c>
      <c r="Q6" s="2" t="s">
        <v>19</v>
      </c>
      <c r="R6" s="2">
        <f t="shared" si="4"/>
        <v>800</v>
      </c>
      <c r="S6" s="2">
        <f t="shared" si="5"/>
        <v>400</v>
      </c>
      <c r="T6" s="1">
        <v>180</v>
      </c>
      <c r="U6" s="1">
        <v>22</v>
      </c>
    </row>
    <row r="7" spans="1:21" x14ac:dyDescent="0.15">
      <c r="A7" s="2">
        <v>5</v>
      </c>
      <c r="B7" s="2">
        <v>5000</v>
      </c>
      <c r="C7" s="2">
        <f t="shared" si="0"/>
        <v>10</v>
      </c>
      <c r="D7" s="2">
        <v>3</v>
      </c>
      <c r="E7" s="2">
        <v>20</v>
      </c>
      <c r="F7" s="2">
        <v>1800</v>
      </c>
      <c r="G7" s="2">
        <v>3</v>
      </c>
      <c r="H7" s="2">
        <f t="shared" si="3"/>
        <v>100</v>
      </c>
      <c r="I7" s="2">
        <v>2</v>
      </c>
      <c r="J7" s="2">
        <f t="shared" si="1"/>
        <v>5</v>
      </c>
      <c r="K7" s="2">
        <f t="shared" si="2"/>
        <v>5</v>
      </c>
      <c r="L7" s="2">
        <v>0</v>
      </c>
      <c r="M7" s="4" t="s">
        <v>44</v>
      </c>
      <c r="N7" s="4" t="s">
        <v>57</v>
      </c>
      <c r="O7" s="2" t="s">
        <v>59</v>
      </c>
      <c r="P7" s="6" t="s">
        <v>20</v>
      </c>
      <c r="Q7" s="2" t="s">
        <v>21</v>
      </c>
      <c r="R7" s="2">
        <f t="shared" si="4"/>
        <v>1000</v>
      </c>
      <c r="S7" s="2">
        <f t="shared" si="5"/>
        <v>500</v>
      </c>
      <c r="T7" s="1">
        <v>180</v>
      </c>
      <c r="U7" s="1">
        <v>22</v>
      </c>
    </row>
    <row r="8" spans="1:21" x14ac:dyDescent="0.15">
      <c r="A8" s="2">
        <v>6</v>
      </c>
      <c r="B8" s="2">
        <v>10000</v>
      </c>
      <c r="C8" s="2">
        <f t="shared" si="0"/>
        <v>12</v>
      </c>
      <c r="D8" s="2">
        <v>5</v>
      </c>
      <c r="E8" s="2">
        <v>24</v>
      </c>
      <c r="F8" s="2">
        <v>2520</v>
      </c>
      <c r="G8" s="2">
        <v>3</v>
      </c>
      <c r="H8" s="2">
        <f t="shared" si="3"/>
        <v>110</v>
      </c>
      <c r="I8" s="2">
        <v>2</v>
      </c>
      <c r="J8" s="2">
        <f t="shared" si="1"/>
        <v>6</v>
      </c>
      <c r="K8" s="2">
        <f t="shared" si="2"/>
        <v>6</v>
      </c>
      <c r="L8" s="2">
        <v>1</v>
      </c>
      <c r="M8" s="4" t="s">
        <v>44</v>
      </c>
      <c r="N8" s="4" t="s">
        <v>60</v>
      </c>
      <c r="O8" s="2" t="s">
        <v>61</v>
      </c>
      <c r="P8" s="6" t="s">
        <v>22</v>
      </c>
      <c r="Q8" s="2" t="s">
        <v>23</v>
      </c>
      <c r="R8" s="2">
        <f t="shared" si="4"/>
        <v>1200</v>
      </c>
      <c r="S8" s="2">
        <f t="shared" si="5"/>
        <v>600</v>
      </c>
      <c r="T8" s="1">
        <v>180</v>
      </c>
      <c r="U8" s="1">
        <v>23</v>
      </c>
    </row>
    <row r="9" spans="1:21" x14ac:dyDescent="0.15">
      <c r="A9" s="2">
        <v>7</v>
      </c>
      <c r="B9" s="2">
        <v>20000</v>
      </c>
      <c r="C9" s="2">
        <f t="shared" si="0"/>
        <v>14</v>
      </c>
      <c r="D9" s="2">
        <v>5</v>
      </c>
      <c r="E9" s="2">
        <v>28</v>
      </c>
      <c r="F9" s="2">
        <v>3360</v>
      </c>
      <c r="G9" s="2">
        <v>3</v>
      </c>
      <c r="H9" s="2">
        <f t="shared" si="3"/>
        <v>120</v>
      </c>
      <c r="I9" s="2">
        <v>2</v>
      </c>
      <c r="J9" s="2">
        <f t="shared" si="1"/>
        <v>7</v>
      </c>
      <c r="K9" s="2">
        <f t="shared" si="2"/>
        <v>7</v>
      </c>
      <c r="L9" s="2">
        <v>1</v>
      </c>
      <c r="M9" s="4" t="s">
        <v>44</v>
      </c>
      <c r="N9" s="4" t="s">
        <v>60</v>
      </c>
      <c r="O9" s="2" t="s">
        <v>62</v>
      </c>
      <c r="P9" s="6" t="s">
        <v>24</v>
      </c>
      <c r="Q9" s="2" t="s">
        <v>25</v>
      </c>
      <c r="R9" s="2">
        <f t="shared" si="4"/>
        <v>1400</v>
      </c>
      <c r="S9" s="2">
        <f t="shared" si="5"/>
        <v>700</v>
      </c>
      <c r="T9" s="1">
        <v>180</v>
      </c>
      <c r="U9" s="1">
        <v>23</v>
      </c>
    </row>
    <row r="10" spans="1:21" x14ac:dyDescent="0.15">
      <c r="A10" s="2">
        <v>8</v>
      </c>
      <c r="B10" s="2">
        <v>30000</v>
      </c>
      <c r="C10" s="2">
        <f t="shared" si="0"/>
        <v>16</v>
      </c>
      <c r="D10" s="2">
        <v>5</v>
      </c>
      <c r="E10" s="2">
        <v>32</v>
      </c>
      <c r="F10" s="2">
        <v>4320</v>
      </c>
      <c r="G10" s="2">
        <v>4</v>
      </c>
      <c r="H10" s="2">
        <f t="shared" si="3"/>
        <v>130</v>
      </c>
      <c r="I10" s="2">
        <v>2</v>
      </c>
      <c r="J10" s="2">
        <f t="shared" si="1"/>
        <v>8</v>
      </c>
      <c r="K10" s="2">
        <f t="shared" si="2"/>
        <v>8</v>
      </c>
      <c r="L10" s="2">
        <v>1</v>
      </c>
      <c r="M10" s="4" t="s">
        <v>44</v>
      </c>
      <c r="N10" s="4" t="s">
        <v>63</v>
      </c>
      <c r="O10" s="2" t="s">
        <v>64</v>
      </c>
      <c r="P10" s="6" t="s">
        <v>26</v>
      </c>
      <c r="Q10" s="2" t="s">
        <v>27</v>
      </c>
      <c r="R10" s="2">
        <f t="shared" si="4"/>
        <v>1600</v>
      </c>
      <c r="S10" s="2">
        <f t="shared" si="5"/>
        <v>800</v>
      </c>
      <c r="T10" s="1">
        <v>180</v>
      </c>
      <c r="U10" s="1">
        <v>24</v>
      </c>
    </row>
    <row r="11" spans="1:21" x14ac:dyDescent="0.15">
      <c r="A11" s="2">
        <v>9</v>
      </c>
      <c r="B11" s="2">
        <v>50000</v>
      </c>
      <c r="C11" s="2">
        <f t="shared" si="0"/>
        <v>18</v>
      </c>
      <c r="D11" s="2">
        <v>7</v>
      </c>
      <c r="E11" s="2">
        <v>36</v>
      </c>
      <c r="F11" s="2">
        <v>5400</v>
      </c>
      <c r="G11" s="2">
        <v>4</v>
      </c>
      <c r="H11" s="2">
        <f t="shared" si="3"/>
        <v>140</v>
      </c>
      <c r="I11" s="2">
        <v>2</v>
      </c>
      <c r="J11" s="2">
        <f t="shared" si="1"/>
        <v>9</v>
      </c>
      <c r="K11" s="2">
        <f t="shared" si="2"/>
        <v>9</v>
      </c>
      <c r="L11" s="2">
        <v>1</v>
      </c>
      <c r="M11" s="4" t="s">
        <v>44</v>
      </c>
      <c r="N11" s="4" t="s">
        <v>63</v>
      </c>
      <c r="O11" s="2" t="s">
        <v>65</v>
      </c>
      <c r="P11" s="6" t="s">
        <v>28</v>
      </c>
      <c r="Q11" s="2" t="s">
        <v>29</v>
      </c>
      <c r="R11" s="2">
        <f t="shared" si="4"/>
        <v>1800</v>
      </c>
      <c r="S11" s="2">
        <f t="shared" si="5"/>
        <v>900</v>
      </c>
      <c r="T11" s="1">
        <v>180</v>
      </c>
      <c r="U11" s="1">
        <v>25</v>
      </c>
    </row>
    <row r="12" spans="1:21" x14ac:dyDescent="0.15">
      <c r="A12" s="2">
        <v>10</v>
      </c>
      <c r="B12" s="2">
        <v>100000</v>
      </c>
      <c r="C12" s="2">
        <f t="shared" si="0"/>
        <v>20</v>
      </c>
      <c r="D12" s="2">
        <v>7</v>
      </c>
      <c r="E12" s="2">
        <v>40</v>
      </c>
      <c r="F12" s="2">
        <v>6600</v>
      </c>
      <c r="G12" s="2">
        <v>4</v>
      </c>
      <c r="H12" s="2">
        <f t="shared" si="3"/>
        <v>150</v>
      </c>
      <c r="I12" s="2">
        <v>2</v>
      </c>
      <c r="J12" s="2">
        <f t="shared" si="1"/>
        <v>10</v>
      </c>
      <c r="K12" s="2">
        <f t="shared" si="2"/>
        <v>10</v>
      </c>
      <c r="L12" s="2">
        <v>1</v>
      </c>
      <c r="M12" s="4" t="s">
        <v>44</v>
      </c>
      <c r="N12" s="4" t="s">
        <v>63</v>
      </c>
      <c r="O12" s="2" t="s">
        <v>66</v>
      </c>
      <c r="P12" s="6" t="s">
        <v>30</v>
      </c>
      <c r="Q12" s="2" t="s">
        <v>31</v>
      </c>
      <c r="R12" s="2">
        <f t="shared" si="4"/>
        <v>2000</v>
      </c>
      <c r="S12" s="2">
        <f t="shared" si="5"/>
        <v>1000</v>
      </c>
      <c r="T12" s="1">
        <v>180</v>
      </c>
      <c r="U12" s="1">
        <v>26</v>
      </c>
    </row>
    <row r="13" spans="1:21" ht="29.25" customHeight="1" x14ac:dyDescent="0.15">
      <c r="A13" s="2">
        <v>11</v>
      </c>
      <c r="B13" s="2">
        <v>200000</v>
      </c>
      <c r="C13" s="2">
        <f t="shared" si="0"/>
        <v>22</v>
      </c>
      <c r="D13" s="2">
        <v>7</v>
      </c>
      <c r="E13" s="2">
        <v>44</v>
      </c>
      <c r="F13" s="2">
        <v>7920</v>
      </c>
      <c r="G13" s="2">
        <v>4</v>
      </c>
      <c r="H13" s="2">
        <f t="shared" si="3"/>
        <v>160</v>
      </c>
      <c r="I13" s="2">
        <v>2</v>
      </c>
      <c r="J13" s="2">
        <f t="shared" si="1"/>
        <v>11</v>
      </c>
      <c r="K13" s="2">
        <f t="shared" si="2"/>
        <v>11</v>
      </c>
      <c r="L13" s="2">
        <v>1</v>
      </c>
      <c r="M13" s="4" t="s">
        <v>44</v>
      </c>
      <c r="N13" s="4" t="s">
        <v>63</v>
      </c>
      <c r="O13" s="2" t="s">
        <v>67</v>
      </c>
      <c r="P13" s="6" t="s">
        <v>32</v>
      </c>
      <c r="Q13" s="2" t="s">
        <v>33</v>
      </c>
      <c r="R13" s="2">
        <f t="shared" si="4"/>
        <v>2200</v>
      </c>
      <c r="S13" s="2">
        <f t="shared" si="5"/>
        <v>1100</v>
      </c>
      <c r="T13" s="1">
        <v>180</v>
      </c>
      <c r="U13" s="1">
        <v>27</v>
      </c>
    </row>
    <row r="14" spans="1:21" ht="25.5" customHeight="1" x14ac:dyDescent="0.15">
      <c r="A14" s="2">
        <v>12</v>
      </c>
      <c r="B14" s="2">
        <v>300000</v>
      </c>
      <c r="C14" s="2">
        <f t="shared" si="0"/>
        <v>24</v>
      </c>
      <c r="D14" s="2">
        <v>7</v>
      </c>
      <c r="E14" s="2">
        <v>48</v>
      </c>
      <c r="F14" s="2">
        <v>9360</v>
      </c>
      <c r="G14" s="2">
        <v>4</v>
      </c>
      <c r="H14" s="2">
        <f t="shared" si="3"/>
        <v>170</v>
      </c>
      <c r="I14" s="2">
        <v>2</v>
      </c>
      <c r="J14" s="2">
        <f t="shared" si="1"/>
        <v>12</v>
      </c>
      <c r="K14" s="2">
        <f t="shared" si="2"/>
        <v>12</v>
      </c>
      <c r="L14" s="2">
        <v>1</v>
      </c>
      <c r="M14" s="4" t="s">
        <v>44</v>
      </c>
      <c r="N14" s="4" t="s">
        <v>68</v>
      </c>
      <c r="O14" s="2" t="s">
        <v>69</v>
      </c>
      <c r="P14" s="6" t="s">
        <v>34</v>
      </c>
      <c r="Q14" s="2" t="s">
        <v>35</v>
      </c>
      <c r="R14" s="2">
        <f t="shared" si="4"/>
        <v>2400</v>
      </c>
      <c r="S14" s="2">
        <f t="shared" si="5"/>
        <v>1200</v>
      </c>
      <c r="T14" s="1">
        <v>180</v>
      </c>
      <c r="U14" s="1">
        <v>28</v>
      </c>
    </row>
    <row r="15" spans="1:21" ht="24" customHeight="1" x14ac:dyDescent="0.15">
      <c r="A15" s="2">
        <v>13</v>
      </c>
      <c r="B15" s="2">
        <v>400000</v>
      </c>
      <c r="C15" s="2">
        <f t="shared" si="0"/>
        <v>26</v>
      </c>
      <c r="D15" s="2">
        <v>10</v>
      </c>
      <c r="E15" s="2">
        <v>52</v>
      </c>
      <c r="F15" s="2">
        <v>10920</v>
      </c>
      <c r="G15" s="2">
        <v>4</v>
      </c>
      <c r="H15" s="2">
        <f t="shared" si="3"/>
        <v>180</v>
      </c>
      <c r="I15" s="2">
        <v>2</v>
      </c>
      <c r="J15" s="2">
        <f t="shared" si="1"/>
        <v>13</v>
      </c>
      <c r="K15" s="2">
        <f t="shared" si="2"/>
        <v>13</v>
      </c>
      <c r="L15" s="2">
        <v>1</v>
      </c>
      <c r="M15" s="4" t="s">
        <v>44</v>
      </c>
      <c r="N15" s="4" t="s">
        <v>68</v>
      </c>
      <c r="O15" s="2" t="s">
        <v>70</v>
      </c>
      <c r="P15" s="6" t="s">
        <v>36</v>
      </c>
      <c r="Q15" s="2" t="s">
        <v>37</v>
      </c>
      <c r="R15" s="2">
        <f t="shared" si="4"/>
        <v>2600</v>
      </c>
      <c r="S15" s="2">
        <f t="shared" si="5"/>
        <v>1300</v>
      </c>
      <c r="T15" s="1">
        <v>180</v>
      </c>
      <c r="U15" s="1">
        <v>29</v>
      </c>
    </row>
    <row r="16" spans="1:21" ht="27.75" customHeight="1" x14ac:dyDescent="0.15">
      <c r="A16" s="2">
        <v>14</v>
      </c>
      <c r="B16" s="2">
        <v>500000</v>
      </c>
      <c r="C16" s="2">
        <f t="shared" si="0"/>
        <v>28</v>
      </c>
      <c r="D16" s="2">
        <v>10</v>
      </c>
      <c r="E16" s="2">
        <v>56</v>
      </c>
      <c r="F16" s="2">
        <v>12600</v>
      </c>
      <c r="G16" s="2">
        <v>4</v>
      </c>
      <c r="H16" s="2">
        <f t="shared" si="3"/>
        <v>190</v>
      </c>
      <c r="I16" s="2">
        <v>2</v>
      </c>
      <c r="J16" s="2">
        <f t="shared" si="1"/>
        <v>14</v>
      </c>
      <c r="K16" s="2">
        <f t="shared" si="2"/>
        <v>14</v>
      </c>
      <c r="L16" s="2">
        <v>1</v>
      </c>
      <c r="M16" s="4" t="s">
        <v>44</v>
      </c>
      <c r="N16" s="4" t="s">
        <v>68</v>
      </c>
      <c r="O16" s="2" t="s">
        <v>71</v>
      </c>
      <c r="P16" s="6" t="s">
        <v>38</v>
      </c>
      <c r="Q16" s="2" t="s">
        <v>39</v>
      </c>
      <c r="R16" s="2">
        <f t="shared" si="4"/>
        <v>2800</v>
      </c>
      <c r="S16" s="2">
        <f t="shared" si="5"/>
        <v>1400</v>
      </c>
      <c r="T16" s="1">
        <v>180</v>
      </c>
      <c r="U16" s="1">
        <v>30</v>
      </c>
    </row>
    <row r="17" spans="1:21" x14ac:dyDescent="0.15">
      <c r="A17" s="2">
        <v>15</v>
      </c>
      <c r="B17" s="2">
        <v>800000</v>
      </c>
      <c r="C17" s="2">
        <f t="shared" si="0"/>
        <v>30</v>
      </c>
      <c r="D17" s="2">
        <v>12</v>
      </c>
      <c r="E17" s="2">
        <v>60</v>
      </c>
      <c r="F17" s="2">
        <v>14400</v>
      </c>
      <c r="G17" s="2">
        <v>4</v>
      </c>
      <c r="H17" s="2">
        <f t="shared" si="3"/>
        <v>200</v>
      </c>
      <c r="I17" s="2">
        <v>2</v>
      </c>
      <c r="J17" s="2">
        <f t="shared" si="1"/>
        <v>15</v>
      </c>
      <c r="K17" s="2">
        <f t="shared" si="2"/>
        <v>15</v>
      </c>
      <c r="L17" s="2">
        <v>1</v>
      </c>
      <c r="M17" s="4" t="s">
        <v>44</v>
      </c>
      <c r="N17" s="4" t="s">
        <v>68</v>
      </c>
      <c r="O17" s="2" t="s">
        <v>72</v>
      </c>
      <c r="P17" s="6" t="s">
        <v>40</v>
      </c>
      <c r="Q17" s="2" t="s">
        <v>41</v>
      </c>
      <c r="R17" s="2">
        <f t="shared" si="4"/>
        <v>3000</v>
      </c>
      <c r="S17" s="2">
        <f t="shared" si="5"/>
        <v>1500</v>
      </c>
      <c r="T17" s="1">
        <v>180</v>
      </c>
      <c r="U17" s="1">
        <v>30</v>
      </c>
    </row>
  </sheetData>
  <phoneticPr fontId="3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3</xdr:col>
                    <xdr:colOff>942975</xdr:colOff>
                    <xdr:row>19</xdr:row>
                    <xdr:rowOff>142875</xdr:rowOff>
                  </from>
                  <to>
                    <xdr:col>4</xdr:col>
                    <xdr:colOff>923925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3.5" x14ac:dyDescent="0.15"/>
  <sheetData/>
  <phoneticPr fontId="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2017-03-22T05:09:00Z</dcterms:created>
  <dcterms:modified xsi:type="dcterms:W3CDTF">2018-11-13T02:47:23Z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