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E30" i="1" l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23" i="1"/>
  <c r="E24" i="1"/>
  <c r="E25" i="1"/>
  <c r="E26" i="1"/>
  <c r="E27" i="1"/>
  <c r="E28" i="1"/>
  <c r="E29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贸易中心等级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间隔产出时间（秒）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产出砖石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存储上限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升到下一等级需要消费钻石（空则为当前等级是最高等级）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累计升到该等级需要钻石,显示用</t>
        </r>
      </text>
    </comment>
  </commentList>
</comments>
</file>

<file path=xl/connections.xml><?xml version="1.0" encoding="utf-8"?>
<connections xmlns="http://schemas.openxmlformats.org/spreadsheetml/2006/main">
  <connection id="1" name="Building_3" type="4" refreshedVersion="0" background="1">
    <webPr xml="1" sourceData="1" url="G:\xingzhan\新建文件夹\Building_3.xml" htmlTables="1" htmlFormat="all"/>
  </connection>
</connections>
</file>

<file path=xl/sharedStrings.xml><?xml version="1.0" encoding="utf-8"?>
<sst xmlns="http://schemas.openxmlformats.org/spreadsheetml/2006/main" count="54" uniqueCount="10">
  <si>
    <t>ID</t>
    <phoneticPr fontId="1" type="noConversion"/>
  </si>
  <si>
    <t>FIGHT_POWER</t>
    <phoneticPr fontId="1" type="noConversion"/>
  </si>
  <si>
    <t>MEMO_ID</t>
    <phoneticPr fontId="1" type="noConversion"/>
  </si>
  <si>
    <t>PRODUCTION_TIME</t>
    <phoneticPr fontId="1" type="noConversion"/>
  </si>
  <si>
    <t>MYZX_1001</t>
  </si>
  <si>
    <t>PRODUCTION_NUM</t>
    <phoneticPr fontId="1" type="noConversion"/>
  </si>
  <si>
    <t>STORAGE</t>
    <phoneticPr fontId="1" type="noConversion"/>
  </si>
  <si>
    <t>EXP</t>
    <phoneticPr fontId="1" type="noConversion"/>
  </si>
  <si>
    <t>SHOW_EXP</t>
    <phoneticPr fontId="1" type="noConversion"/>
  </si>
  <si>
    <t>EXP2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</si>
</sst>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常规" xfId="0" builtinId="0"/>
    <cellStyle name="常规 4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SHIP_LIST" form="unqualified"/>
                  <xsd:element minOccurs="0" nillable="true" type="xsd:integer" name="MAIN_BUILDING_LEVEL" form="unqualified"/>
                  <xsd:element minOccurs="0" nillable="true" type="xsd:string" name="ITEM_ID" form="unqualified"/>
                  <xsd:element minOccurs="0" nillable="true" type="xsd:string" name="ITEM_NUM" form="unqualified"/>
                  <xsd:element minOccurs="0" nillable="true" type="xsd:integer" name="CD" form="unqualified"/>
                  <xsd:element minOccurs="0" nillable="true" type="xsd:integer" name="FIGHT_POWER" form="unqualified"/>
                  <xsd:element minOccurs="0" nillable="true" type="xsd:string" name="MEMO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771525</xdr:colOff>
          <xdr:row>0</xdr:row>
          <xdr:rowOff>66675</xdr:rowOff>
        </xdr:from>
        <xdr:to>
          <xdr:col>10</xdr:col>
          <xdr:colOff>657225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I46" tableType="xml" totalsRowShown="0" headerRowDxfId="10" dataDxfId="9" connectionId="1">
  <autoFilter ref="A1:I46"/>
  <tableColumns count="9">
    <tableColumn id="1" uniqueName="ID" name="ID" dataDxfId="8">
      <xmlColumnPr mapId="1" xpath="/Root/Row/ID" xmlDataType="integer"/>
    </tableColumn>
    <tableColumn id="12" uniqueName="12" name="PRODUCTION_TIME" dataDxfId="7"/>
    <tableColumn id="10" uniqueName="10" name="PRODUCTION_NUM" dataDxfId="6"/>
    <tableColumn id="13" uniqueName="13" name="STORAGE" dataDxfId="5"/>
    <tableColumn id="2" uniqueName="2" name="EXP" dataDxfId="4">
      <calculatedColumnFormula>IF(F3="","",F3-表1[[#This Row],[SHOW_EXP]])</calculatedColumnFormula>
    </tableColumn>
    <tableColumn id="3" uniqueName="3" name="SHOW_EXP" dataDxfId="3"/>
    <tableColumn id="7" uniqueName="FIGHT_POWER" name="FIGHT_POWER" dataDxfId="2">
      <xmlColumnPr mapId="1" xpath="/Root/Row/FIGHT_POWER" xmlDataType="integer"/>
    </tableColumn>
    <tableColumn id="8" uniqueName="MEMO_ID" name="MEMO_ID" dataDxfId="1">
      <xmlColumnPr mapId="1" xpath="/Root/Row/MEMO_ID" xmlDataType="string"/>
    </tableColumn>
    <tableColumn id="4" uniqueName="4" name="EXP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6"/>
  <sheetViews>
    <sheetView tabSelected="1" topLeftCell="A19" workbookViewId="0">
      <selection activeCell="I2" sqref="I2:I45"/>
    </sheetView>
  </sheetViews>
  <sheetFormatPr defaultRowHeight="13.5" x14ac:dyDescent="0.15"/>
  <cols>
    <col min="1" max="1" width="8" style="1" bestFit="1" customWidth="1"/>
    <col min="2" max="4" width="31.625" style="1" customWidth="1"/>
    <col min="5" max="5" width="9.125" style="1" bestFit="1" customWidth="1"/>
    <col min="6" max="6" width="14.75" style="1" bestFit="1" customWidth="1"/>
    <col min="7" max="8" width="18.5" style="1" bestFit="1" customWidth="1"/>
    <col min="9" max="9" width="11.375" style="1" bestFit="1" customWidth="1"/>
    <col min="10" max="16384" width="9" style="1"/>
  </cols>
  <sheetData>
    <row r="1" spans="1:9" ht="22.5" customHeight="1" x14ac:dyDescent="0.15">
      <c r="A1" s="1" t="s">
        <v>0</v>
      </c>
      <c r="B1" s="1" t="s">
        <v>3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1</v>
      </c>
      <c r="H1" s="1" t="s">
        <v>2</v>
      </c>
      <c r="I1" s="1" t="s">
        <v>9</v>
      </c>
    </row>
    <row r="2" spans="1:9" x14ac:dyDescent="0.15">
      <c r="A2" s="1">
        <v>1</v>
      </c>
      <c r="B2" s="1">
        <v>86400</v>
      </c>
      <c r="C2" s="1">
        <v>40</v>
      </c>
      <c r="D2" s="1">
        <v>80</v>
      </c>
      <c r="E2" s="1">
        <f>IF(F3="","",F3-表1[[#This Row],[SHOW_EXP]])</f>
        <v>1200</v>
      </c>
      <c r="F2" s="1">
        <v>0</v>
      </c>
      <c r="G2" s="1">
        <v>20</v>
      </c>
      <c r="H2" s="2" t="s">
        <v>4</v>
      </c>
      <c r="I2" s="1">
        <v>30</v>
      </c>
    </row>
    <row r="3" spans="1:9" x14ac:dyDescent="0.15">
      <c r="A3" s="1">
        <v>2</v>
      </c>
      <c r="B3" s="1">
        <v>86400</v>
      </c>
      <c r="C3" s="1">
        <v>50</v>
      </c>
      <c r="D3" s="1">
        <v>100</v>
      </c>
      <c r="E3" s="1">
        <f>IF(F4="","",F4-表1[[#This Row],[SHOW_EXP]])</f>
        <v>3000</v>
      </c>
      <c r="F3" s="1">
        <v>1200</v>
      </c>
      <c r="G3" s="1">
        <v>40</v>
      </c>
      <c r="H3" s="2" t="s">
        <v>4</v>
      </c>
      <c r="I3" s="1">
        <v>50</v>
      </c>
    </row>
    <row r="4" spans="1:9" x14ac:dyDescent="0.15">
      <c r="A4" s="1">
        <v>3</v>
      </c>
      <c r="B4" s="1">
        <v>86400</v>
      </c>
      <c r="C4" s="1">
        <v>60</v>
      </c>
      <c r="D4" s="1">
        <v>120</v>
      </c>
      <c r="E4" s="1">
        <f>IF(F5="","",F5-表1[[#This Row],[SHOW_EXP]])</f>
        <v>5400</v>
      </c>
      <c r="F4" s="1">
        <v>4200</v>
      </c>
      <c r="G4" s="1">
        <v>60</v>
      </c>
      <c r="H4" s="2" t="s">
        <v>4</v>
      </c>
      <c r="I4" s="1">
        <v>80</v>
      </c>
    </row>
    <row r="5" spans="1:9" x14ac:dyDescent="0.15">
      <c r="A5" s="1">
        <v>4</v>
      </c>
      <c r="B5" s="1">
        <v>86400</v>
      </c>
      <c r="C5" s="1">
        <v>70</v>
      </c>
      <c r="D5" s="1">
        <v>140</v>
      </c>
      <c r="E5" s="1">
        <f>IF(F6="","",F6-表1[[#This Row],[SHOW_EXP]])</f>
        <v>8400</v>
      </c>
      <c r="F5" s="1">
        <v>9600</v>
      </c>
      <c r="G5" s="1">
        <v>90</v>
      </c>
      <c r="H5" s="2" t="s">
        <v>4</v>
      </c>
      <c r="I5" s="1">
        <v>100</v>
      </c>
    </row>
    <row r="6" spans="1:9" x14ac:dyDescent="0.15">
      <c r="A6" s="1">
        <v>5</v>
      </c>
      <c r="B6" s="1">
        <v>86400</v>
      </c>
      <c r="C6" s="1">
        <v>80</v>
      </c>
      <c r="D6" s="1">
        <v>160</v>
      </c>
      <c r="E6" s="1">
        <f>IF(F7="","",F7-表1[[#This Row],[SHOW_EXP]])</f>
        <v>12000</v>
      </c>
      <c r="F6" s="1">
        <v>18000</v>
      </c>
      <c r="G6" s="1">
        <v>110</v>
      </c>
      <c r="H6" s="2" t="s">
        <v>4</v>
      </c>
      <c r="I6" s="1">
        <v>130</v>
      </c>
    </row>
    <row r="7" spans="1:9" x14ac:dyDescent="0.15">
      <c r="A7" s="1">
        <v>6</v>
      </c>
      <c r="B7" s="1">
        <v>86400</v>
      </c>
      <c r="C7" s="1">
        <v>90</v>
      </c>
      <c r="D7" s="1">
        <v>180</v>
      </c>
      <c r="E7" s="1">
        <f>IF(F8="","",F8-表1[[#This Row],[SHOW_EXP]])</f>
        <v>16200</v>
      </c>
      <c r="F7" s="1">
        <v>30000</v>
      </c>
      <c r="G7" s="1">
        <v>130</v>
      </c>
      <c r="H7" s="2" t="s">
        <v>4</v>
      </c>
      <c r="I7" s="1">
        <v>150</v>
      </c>
    </row>
    <row r="8" spans="1:9" x14ac:dyDescent="0.15">
      <c r="A8" s="1">
        <v>7</v>
      </c>
      <c r="B8" s="1">
        <v>86400</v>
      </c>
      <c r="C8" s="1">
        <v>100</v>
      </c>
      <c r="D8" s="1">
        <v>200</v>
      </c>
      <c r="E8" s="1">
        <f>IF(F9="","",F9-表1[[#This Row],[SHOW_EXP]])</f>
        <v>21000</v>
      </c>
      <c r="F8" s="1">
        <v>46200</v>
      </c>
      <c r="G8" s="1">
        <v>150</v>
      </c>
      <c r="H8" s="2" t="s">
        <v>4</v>
      </c>
      <c r="I8" s="1">
        <v>180</v>
      </c>
    </row>
    <row r="9" spans="1:9" x14ac:dyDescent="0.15">
      <c r="A9" s="1">
        <v>8</v>
      </c>
      <c r="B9" s="1">
        <v>86400</v>
      </c>
      <c r="C9" s="1">
        <v>110</v>
      </c>
      <c r="D9" s="1">
        <v>220</v>
      </c>
      <c r="E9" s="1">
        <f>IF(F10="","",F10-表1[[#This Row],[SHOW_EXP]])</f>
        <v>26400</v>
      </c>
      <c r="F9" s="1">
        <v>67200</v>
      </c>
      <c r="G9" s="1">
        <v>170</v>
      </c>
      <c r="H9" s="2" t="s">
        <v>4</v>
      </c>
      <c r="I9" s="1">
        <v>200</v>
      </c>
    </row>
    <row r="10" spans="1:9" x14ac:dyDescent="0.15">
      <c r="A10" s="1">
        <v>9</v>
      </c>
      <c r="B10" s="1">
        <v>86400</v>
      </c>
      <c r="C10" s="1">
        <v>120</v>
      </c>
      <c r="D10" s="1">
        <v>240</v>
      </c>
      <c r="E10" s="1">
        <f>IF(F11="","",F11-表1[[#This Row],[SHOW_EXP]])</f>
        <v>32400</v>
      </c>
      <c r="F10" s="1">
        <v>93600</v>
      </c>
      <c r="G10" s="1">
        <v>190</v>
      </c>
      <c r="H10" s="2" t="s">
        <v>4</v>
      </c>
      <c r="I10" s="1">
        <v>220</v>
      </c>
    </row>
    <row r="11" spans="1:9" x14ac:dyDescent="0.15">
      <c r="A11" s="1">
        <v>10</v>
      </c>
      <c r="B11" s="1">
        <v>86400</v>
      </c>
      <c r="C11" s="1">
        <v>130</v>
      </c>
      <c r="D11" s="1">
        <v>260</v>
      </c>
      <c r="E11" s="1">
        <f>IF(F12="","",F12-表1[[#This Row],[SHOW_EXP]])</f>
        <v>39000</v>
      </c>
      <c r="F11" s="1">
        <v>126000</v>
      </c>
      <c r="G11" s="1">
        <v>210</v>
      </c>
      <c r="H11" s="2" t="s">
        <v>4</v>
      </c>
      <c r="I11" s="1">
        <v>240</v>
      </c>
    </row>
    <row r="12" spans="1:9" x14ac:dyDescent="0.15">
      <c r="A12" s="1">
        <v>11</v>
      </c>
      <c r="B12" s="1">
        <v>86400</v>
      </c>
      <c r="C12" s="1">
        <v>140</v>
      </c>
      <c r="D12" s="1">
        <v>280</v>
      </c>
      <c r="E12" s="1">
        <f>IF(F13="","",F13-表1[[#This Row],[SHOW_EXP]])</f>
        <v>42000</v>
      </c>
      <c r="F12" s="1">
        <v>165000</v>
      </c>
      <c r="G12" s="1">
        <v>230</v>
      </c>
      <c r="H12" s="2" t="s">
        <v>4</v>
      </c>
      <c r="I12" s="1">
        <v>270</v>
      </c>
    </row>
    <row r="13" spans="1:9" x14ac:dyDescent="0.15">
      <c r="A13" s="1">
        <v>12</v>
      </c>
      <c r="B13" s="3">
        <v>86400</v>
      </c>
      <c r="C13" s="2">
        <v>150</v>
      </c>
      <c r="D13" s="1">
        <v>300</v>
      </c>
      <c r="E13" s="1">
        <f>IF(F14="","",F14-表1[[#This Row],[SHOW_EXP]])</f>
        <v>45000</v>
      </c>
      <c r="F13" s="1">
        <v>207000</v>
      </c>
      <c r="G13" s="1">
        <v>260</v>
      </c>
      <c r="H13" s="2" t="s">
        <v>4</v>
      </c>
      <c r="I13" s="1">
        <v>300</v>
      </c>
    </row>
    <row r="14" spans="1:9" x14ac:dyDescent="0.15">
      <c r="A14" s="1">
        <v>13</v>
      </c>
      <c r="B14" s="3">
        <v>86400</v>
      </c>
      <c r="C14" s="2">
        <v>160</v>
      </c>
      <c r="D14" s="1">
        <v>320</v>
      </c>
      <c r="E14" s="1">
        <f>IF(F15="","",F15-表1[[#This Row],[SHOW_EXP]])</f>
        <v>48000</v>
      </c>
      <c r="F14" s="1">
        <v>252000</v>
      </c>
      <c r="G14" s="1">
        <v>280</v>
      </c>
      <c r="H14" s="2" t="s">
        <v>4</v>
      </c>
      <c r="I14" s="1">
        <v>340</v>
      </c>
    </row>
    <row r="15" spans="1:9" x14ac:dyDescent="0.15">
      <c r="A15" s="1">
        <v>14</v>
      </c>
      <c r="B15" s="3">
        <v>86400</v>
      </c>
      <c r="C15" s="2">
        <v>170</v>
      </c>
      <c r="D15" s="1">
        <v>340</v>
      </c>
      <c r="E15" s="1">
        <f>IF(F16="","",F16-表1[[#This Row],[SHOW_EXP]])</f>
        <v>51000</v>
      </c>
      <c r="F15" s="1">
        <v>300000</v>
      </c>
      <c r="G15" s="1">
        <v>300</v>
      </c>
      <c r="H15" s="2" t="s">
        <v>4</v>
      </c>
      <c r="I15" s="1">
        <v>360</v>
      </c>
    </row>
    <row r="16" spans="1:9" x14ac:dyDescent="0.15">
      <c r="A16" s="1">
        <v>15</v>
      </c>
      <c r="B16" s="3">
        <v>86400</v>
      </c>
      <c r="C16" s="2">
        <v>180</v>
      </c>
      <c r="D16" s="1">
        <v>360</v>
      </c>
      <c r="E16" s="1">
        <f>IF(F17="","",F17-表1[[#This Row],[SHOW_EXP]])</f>
        <v>54000</v>
      </c>
      <c r="F16" s="1">
        <v>351000</v>
      </c>
      <c r="G16" s="1">
        <v>320</v>
      </c>
      <c r="H16" s="2" t="s">
        <v>4</v>
      </c>
      <c r="I16" s="1">
        <v>380</v>
      </c>
    </row>
    <row r="17" spans="1:9" x14ac:dyDescent="0.15">
      <c r="A17" s="1">
        <v>16</v>
      </c>
      <c r="B17" s="3">
        <v>86400</v>
      </c>
      <c r="C17" s="2">
        <v>265</v>
      </c>
      <c r="D17" s="1">
        <v>800</v>
      </c>
      <c r="E17" s="1">
        <f>IF(F18="","",F18-表1[[#This Row],[SHOW_EXP]])</f>
        <v>57000</v>
      </c>
      <c r="F17" s="1">
        <v>405000</v>
      </c>
      <c r="G17" s="1">
        <v>340</v>
      </c>
      <c r="H17" s="2" t="s">
        <v>4</v>
      </c>
      <c r="I17" s="1">
        <v>720</v>
      </c>
    </row>
    <row r="18" spans="1:9" x14ac:dyDescent="0.15">
      <c r="A18" s="1">
        <v>17</v>
      </c>
      <c r="B18" s="3">
        <v>86400</v>
      </c>
      <c r="C18" s="2">
        <v>280</v>
      </c>
      <c r="D18" s="1">
        <v>840</v>
      </c>
      <c r="E18" s="1">
        <f>IF(F19="","",F19-表1[[#This Row],[SHOW_EXP]])</f>
        <v>60000</v>
      </c>
      <c r="F18" s="1">
        <v>462000</v>
      </c>
      <c r="G18" s="1">
        <v>360</v>
      </c>
      <c r="H18" s="2" t="s">
        <v>4</v>
      </c>
      <c r="I18" s="1">
        <v>1020</v>
      </c>
    </row>
    <row r="19" spans="1:9" x14ac:dyDescent="0.15">
      <c r="A19" s="1">
        <v>18</v>
      </c>
      <c r="B19" s="3">
        <v>86400</v>
      </c>
      <c r="C19" s="2">
        <v>295</v>
      </c>
      <c r="D19" s="1">
        <v>890</v>
      </c>
      <c r="E19" s="1">
        <f>IF(F20="","",F20-表1[[#This Row],[SHOW_EXP]])</f>
        <v>63000</v>
      </c>
      <c r="F19" s="1">
        <v>522000</v>
      </c>
      <c r="G19" s="1">
        <v>380</v>
      </c>
      <c r="H19" s="2" t="s">
        <v>4</v>
      </c>
      <c r="I19" s="1">
        <v>1100</v>
      </c>
    </row>
    <row r="20" spans="1:9" x14ac:dyDescent="0.15">
      <c r="A20" s="1">
        <v>19</v>
      </c>
      <c r="B20" s="3">
        <v>86400</v>
      </c>
      <c r="C20" s="2">
        <v>310</v>
      </c>
      <c r="D20" s="1">
        <v>930</v>
      </c>
      <c r="E20" s="1">
        <f>IF(F21="","",F21-表1[[#This Row],[SHOW_EXP]])</f>
        <v>66000</v>
      </c>
      <c r="F20" s="1">
        <v>585000</v>
      </c>
      <c r="G20" s="1">
        <v>410</v>
      </c>
      <c r="H20" s="2" t="s">
        <v>4</v>
      </c>
      <c r="I20" s="1">
        <v>1390</v>
      </c>
    </row>
    <row r="21" spans="1:9" x14ac:dyDescent="0.15">
      <c r="A21" s="1">
        <v>20</v>
      </c>
      <c r="B21" s="3">
        <v>86400</v>
      </c>
      <c r="C21" s="2">
        <v>325</v>
      </c>
      <c r="D21" s="1">
        <v>980</v>
      </c>
      <c r="E21" s="1">
        <f>IF(F22="","",F22-表1[[#This Row],[SHOW_EXP]])</f>
        <v>69000</v>
      </c>
      <c r="F21" s="1">
        <v>651000</v>
      </c>
      <c r="G21" s="1">
        <v>430</v>
      </c>
      <c r="H21" s="2" t="s">
        <v>4</v>
      </c>
      <c r="I21" s="1">
        <v>1480</v>
      </c>
    </row>
    <row r="22" spans="1:9" x14ac:dyDescent="0.15">
      <c r="A22" s="1">
        <v>21</v>
      </c>
      <c r="B22" s="3">
        <v>86400</v>
      </c>
      <c r="C22" s="2">
        <v>340</v>
      </c>
      <c r="D22" s="1">
        <v>1020</v>
      </c>
      <c r="E22" s="1">
        <f>IF(F23="","",F23-表1[[#This Row],[SHOW_EXP]])</f>
        <v>72000</v>
      </c>
      <c r="F22" s="1">
        <v>720000</v>
      </c>
      <c r="G22" s="1">
        <v>450</v>
      </c>
      <c r="H22" s="2" t="s">
        <v>4</v>
      </c>
      <c r="I22" s="1">
        <v>1510</v>
      </c>
    </row>
    <row r="23" spans="1:9" x14ac:dyDescent="0.15">
      <c r="A23" s="1">
        <v>22</v>
      </c>
      <c r="B23" s="3">
        <v>86400</v>
      </c>
      <c r="C23" s="2">
        <v>355</v>
      </c>
      <c r="D23" s="1">
        <v>1070</v>
      </c>
      <c r="E23" s="1">
        <f>IF(F24="","",F24-表1[[#This Row],[SHOW_EXP]])</f>
        <v>75000</v>
      </c>
      <c r="F23" s="1">
        <v>792000</v>
      </c>
      <c r="G23" s="1">
        <v>470</v>
      </c>
      <c r="H23" s="2" t="s">
        <v>4</v>
      </c>
      <c r="I23" s="1">
        <v>2050</v>
      </c>
    </row>
    <row r="24" spans="1:9" x14ac:dyDescent="0.15">
      <c r="A24" s="1">
        <v>23</v>
      </c>
      <c r="B24" s="3">
        <v>86400</v>
      </c>
      <c r="C24" s="2">
        <v>370</v>
      </c>
      <c r="D24" s="1">
        <v>1110</v>
      </c>
      <c r="E24" s="1">
        <f>IF(F25="","",F25-表1[[#This Row],[SHOW_EXP]])</f>
        <v>78000</v>
      </c>
      <c r="F24" s="1">
        <v>867000</v>
      </c>
      <c r="G24" s="1">
        <v>490</v>
      </c>
      <c r="H24" s="2" t="s">
        <v>4</v>
      </c>
      <c r="I24" s="1">
        <v>2080</v>
      </c>
    </row>
    <row r="25" spans="1:9" x14ac:dyDescent="0.15">
      <c r="A25" s="1">
        <v>24</v>
      </c>
      <c r="B25" s="3">
        <v>86400</v>
      </c>
      <c r="C25" s="2">
        <v>385</v>
      </c>
      <c r="D25" s="1">
        <v>1160</v>
      </c>
      <c r="E25" s="1">
        <f>IF(F26="","",F26-表1[[#This Row],[SHOW_EXP]])</f>
        <v>81000</v>
      </c>
      <c r="F25" s="1">
        <v>945000</v>
      </c>
      <c r="G25" s="1">
        <v>510</v>
      </c>
      <c r="H25" s="2" t="s">
        <v>4</v>
      </c>
      <c r="I25" s="1">
        <v>2760</v>
      </c>
    </row>
    <row r="26" spans="1:9" x14ac:dyDescent="0.15">
      <c r="A26" s="1">
        <v>25</v>
      </c>
      <c r="B26" s="3">
        <v>86400</v>
      </c>
      <c r="C26" s="2">
        <v>400</v>
      </c>
      <c r="D26" s="1">
        <v>1200</v>
      </c>
      <c r="E26" s="1">
        <f>IF(F27="","",F27-表1[[#This Row],[SHOW_EXP]])</f>
        <v>84000</v>
      </c>
      <c r="F26" s="1">
        <v>1026000</v>
      </c>
      <c r="G26" s="1">
        <v>530</v>
      </c>
      <c r="H26" s="2" t="s">
        <v>4</v>
      </c>
      <c r="I26" s="1">
        <v>2940</v>
      </c>
    </row>
    <row r="27" spans="1:9" x14ac:dyDescent="0.15">
      <c r="A27" s="1">
        <v>26</v>
      </c>
      <c r="B27" s="3">
        <v>86400</v>
      </c>
      <c r="C27" s="2">
        <v>415</v>
      </c>
      <c r="D27" s="1">
        <v>1250</v>
      </c>
      <c r="E27" s="1">
        <f>IF(F28="","",F28-表1[[#This Row],[SHOW_EXP]])</f>
        <v>87000</v>
      </c>
      <c r="F27" s="1">
        <v>1110000</v>
      </c>
      <c r="G27" s="1">
        <v>550</v>
      </c>
      <c r="H27" s="2" t="s">
        <v>4</v>
      </c>
      <c r="I27" s="1">
        <v>3770</v>
      </c>
    </row>
    <row r="28" spans="1:9" x14ac:dyDescent="0.15">
      <c r="A28" s="1">
        <v>27</v>
      </c>
      <c r="B28" s="3">
        <v>86400</v>
      </c>
      <c r="C28" s="2">
        <v>430</v>
      </c>
      <c r="D28" s="1">
        <v>1290</v>
      </c>
      <c r="E28" s="1">
        <f>IF(F29="","",F29-表1[[#This Row],[SHOW_EXP]])</f>
        <v>90000</v>
      </c>
      <c r="F28" s="1">
        <v>1197000</v>
      </c>
      <c r="G28" s="1">
        <v>580</v>
      </c>
      <c r="H28" s="2" t="s">
        <v>4</v>
      </c>
      <c r="I28" s="1">
        <v>3810</v>
      </c>
    </row>
    <row r="29" spans="1:9" x14ac:dyDescent="0.15">
      <c r="A29" s="1">
        <v>28</v>
      </c>
      <c r="B29" s="3">
        <v>86400</v>
      </c>
      <c r="C29" s="2">
        <v>445</v>
      </c>
      <c r="D29" s="1">
        <v>1340</v>
      </c>
      <c r="E29" s="1">
        <f>IF(F30="","",F30-表1[[#This Row],[SHOW_EXP]])</f>
        <v>93000</v>
      </c>
      <c r="F29" s="1">
        <v>1287000</v>
      </c>
      <c r="G29" s="1">
        <v>600</v>
      </c>
      <c r="H29" s="2" t="s">
        <v>4</v>
      </c>
      <c r="I29" s="1">
        <v>4460</v>
      </c>
    </row>
    <row r="30" spans="1:9" x14ac:dyDescent="0.15">
      <c r="A30" s="1">
        <v>29</v>
      </c>
      <c r="B30" s="3">
        <v>86400</v>
      </c>
      <c r="C30" s="2">
        <v>460</v>
      </c>
      <c r="D30" s="1">
        <v>1380</v>
      </c>
      <c r="E30" s="1">
        <f>IF(F31="","",F31-表1[[#This Row],[SHOW_EXP]])</f>
        <v>96000</v>
      </c>
      <c r="F30" s="1">
        <v>1380000</v>
      </c>
      <c r="G30" s="1">
        <v>620</v>
      </c>
      <c r="H30" s="2" t="s">
        <v>4</v>
      </c>
      <c r="I30" s="1">
        <v>4500</v>
      </c>
    </row>
    <row r="31" spans="1:9" x14ac:dyDescent="0.15">
      <c r="A31" s="1">
        <v>30</v>
      </c>
      <c r="B31" s="3">
        <v>86400</v>
      </c>
      <c r="C31" s="2">
        <v>475</v>
      </c>
      <c r="D31" s="1">
        <v>1430</v>
      </c>
      <c r="E31" s="1">
        <f>IF(F32="","",F32-表1[[#This Row],[SHOW_EXP]])</f>
        <v>99000</v>
      </c>
      <c r="F31" s="1">
        <v>1476000</v>
      </c>
      <c r="G31" s="1">
        <v>640</v>
      </c>
      <c r="H31" s="2" t="s">
        <v>4</v>
      </c>
      <c r="I31" s="1">
        <v>5160</v>
      </c>
    </row>
    <row r="32" spans="1:9" x14ac:dyDescent="0.15">
      <c r="A32" s="1">
        <v>31</v>
      </c>
      <c r="B32" s="3">
        <v>86400</v>
      </c>
      <c r="C32" s="2">
        <v>640</v>
      </c>
      <c r="D32" s="1">
        <v>2560</v>
      </c>
      <c r="E32" s="1">
        <f>IF(F33="","",F33-表1[[#This Row],[SHOW_EXP]])</f>
        <v>102000</v>
      </c>
      <c r="F32" s="1">
        <v>1575000</v>
      </c>
      <c r="G32" s="1">
        <v>660</v>
      </c>
      <c r="H32" s="2" t="s">
        <v>4</v>
      </c>
      <c r="I32" s="1">
        <v>5200</v>
      </c>
    </row>
    <row r="33" spans="1:9" x14ac:dyDescent="0.15">
      <c r="A33" s="1">
        <v>32</v>
      </c>
      <c r="B33" s="3">
        <v>86400</v>
      </c>
      <c r="C33" s="2">
        <v>660</v>
      </c>
      <c r="D33" s="1">
        <v>2640</v>
      </c>
      <c r="E33" s="1">
        <f>IF(F34="","",F34-表1[[#This Row],[SHOW_EXP]])</f>
        <v>105000</v>
      </c>
      <c r="F33" s="1">
        <v>1677000</v>
      </c>
      <c r="G33" s="1">
        <v>680</v>
      </c>
      <c r="H33" s="2" t="s">
        <v>4</v>
      </c>
      <c r="I33" s="1">
        <v>5870</v>
      </c>
    </row>
    <row r="34" spans="1:9" x14ac:dyDescent="0.15">
      <c r="A34" s="1">
        <v>33</v>
      </c>
      <c r="B34" s="3">
        <v>86400</v>
      </c>
      <c r="C34" s="2">
        <v>680</v>
      </c>
      <c r="D34" s="1">
        <v>2720</v>
      </c>
      <c r="E34" s="1">
        <f>IF(F35="","",F35-表1[[#This Row],[SHOW_EXP]])</f>
        <v>108000</v>
      </c>
      <c r="F34" s="1">
        <v>1782000</v>
      </c>
      <c r="G34" s="1">
        <v>700</v>
      </c>
      <c r="H34" s="2" t="s">
        <v>4</v>
      </c>
      <c r="I34" s="1">
        <v>5920</v>
      </c>
    </row>
    <row r="35" spans="1:9" x14ac:dyDescent="0.15">
      <c r="A35" s="1">
        <v>34</v>
      </c>
      <c r="B35" s="3">
        <v>86400</v>
      </c>
      <c r="C35" s="2">
        <v>700</v>
      </c>
      <c r="D35" s="1">
        <v>2800</v>
      </c>
      <c r="E35" s="1">
        <f>IF(F36="","",F36-表1[[#This Row],[SHOW_EXP]])</f>
        <v>111000</v>
      </c>
      <c r="F35" s="1">
        <v>1890000</v>
      </c>
      <c r="G35" s="1">
        <v>730</v>
      </c>
      <c r="H35" s="2" t="s">
        <v>4</v>
      </c>
      <c r="I35" s="1">
        <v>6600</v>
      </c>
    </row>
    <row r="36" spans="1:9" x14ac:dyDescent="0.15">
      <c r="A36" s="1">
        <v>35</v>
      </c>
      <c r="B36" s="3">
        <v>86400</v>
      </c>
      <c r="C36" s="2">
        <v>720</v>
      </c>
      <c r="D36" s="1">
        <v>2880</v>
      </c>
      <c r="E36" s="1">
        <f>IF(F37="","",F37-表1[[#This Row],[SHOW_EXP]])</f>
        <v>114000</v>
      </c>
      <c r="F36" s="1">
        <v>2001000</v>
      </c>
      <c r="G36" s="1">
        <v>750</v>
      </c>
      <c r="H36" s="2" t="s">
        <v>4</v>
      </c>
      <c r="I36" s="1">
        <v>6640</v>
      </c>
    </row>
    <row r="37" spans="1:9" x14ac:dyDescent="0.15">
      <c r="A37" s="1">
        <v>36</v>
      </c>
      <c r="B37" s="3">
        <v>86400</v>
      </c>
      <c r="C37" s="2">
        <v>740</v>
      </c>
      <c r="D37" s="1">
        <v>2960</v>
      </c>
      <c r="E37" s="1">
        <f>IF(F38="","",F38-表1[[#This Row],[SHOW_EXP]])</f>
        <v>117000</v>
      </c>
      <c r="F37" s="1">
        <v>2115000</v>
      </c>
      <c r="G37" s="1">
        <v>770</v>
      </c>
      <c r="H37" s="2" t="s">
        <v>4</v>
      </c>
      <c r="I37" s="1">
        <v>7340</v>
      </c>
    </row>
    <row r="38" spans="1:9" x14ac:dyDescent="0.15">
      <c r="A38" s="1">
        <v>37</v>
      </c>
      <c r="B38" s="3">
        <v>86400</v>
      </c>
      <c r="C38" s="2">
        <v>760</v>
      </c>
      <c r="D38" s="1">
        <v>3040</v>
      </c>
      <c r="E38" s="1">
        <f>IF(F39="","",F39-表1[[#This Row],[SHOW_EXP]])</f>
        <v>120000</v>
      </c>
      <c r="F38" s="1">
        <v>2232000</v>
      </c>
      <c r="G38" s="1">
        <v>790</v>
      </c>
      <c r="H38" s="2" t="s">
        <v>4</v>
      </c>
      <c r="I38" s="1">
        <v>7370</v>
      </c>
    </row>
    <row r="39" spans="1:9" x14ac:dyDescent="0.15">
      <c r="A39" s="1">
        <v>38</v>
      </c>
      <c r="B39" s="3">
        <v>86400</v>
      </c>
      <c r="C39" s="2">
        <v>780</v>
      </c>
      <c r="D39" s="1">
        <v>3120</v>
      </c>
      <c r="E39" s="1">
        <f>IF(F40="","",F40-表1[[#This Row],[SHOW_EXP]])</f>
        <v>123000</v>
      </c>
      <c r="F39" s="1">
        <v>2352000</v>
      </c>
      <c r="G39" s="1">
        <v>810</v>
      </c>
      <c r="H39" s="2" t="s">
        <v>4</v>
      </c>
      <c r="I39" s="1">
        <v>8070</v>
      </c>
    </row>
    <row r="40" spans="1:9" x14ac:dyDescent="0.15">
      <c r="A40" s="1">
        <v>39</v>
      </c>
      <c r="B40" s="3">
        <v>86400</v>
      </c>
      <c r="C40" s="2">
        <v>800</v>
      </c>
      <c r="D40" s="1">
        <v>3200</v>
      </c>
      <c r="E40" s="1">
        <f>IF(F41="","",F41-表1[[#This Row],[SHOW_EXP]])</f>
        <v>126000</v>
      </c>
      <c r="F40" s="1">
        <v>2475000</v>
      </c>
      <c r="G40" s="1">
        <v>830</v>
      </c>
      <c r="H40" s="2" t="s">
        <v>4</v>
      </c>
      <c r="I40" s="1">
        <v>8100</v>
      </c>
    </row>
    <row r="41" spans="1:9" x14ac:dyDescent="0.15">
      <c r="A41" s="1">
        <v>40</v>
      </c>
      <c r="B41" s="3">
        <v>86400</v>
      </c>
      <c r="C41" s="2">
        <v>820</v>
      </c>
      <c r="D41" s="1">
        <v>3280</v>
      </c>
      <c r="E41" s="1">
        <f>IF(F42="","",F42-表1[[#This Row],[SHOW_EXP]])</f>
        <v>129000</v>
      </c>
      <c r="F41" s="1">
        <v>2601000</v>
      </c>
      <c r="G41" s="1">
        <v>850</v>
      </c>
      <c r="H41" s="2" t="s">
        <v>4</v>
      </c>
      <c r="I41" s="1">
        <v>8800</v>
      </c>
    </row>
    <row r="42" spans="1:9" x14ac:dyDescent="0.15">
      <c r="A42" s="1">
        <v>41</v>
      </c>
      <c r="B42" s="3">
        <v>86400</v>
      </c>
      <c r="C42" s="2">
        <v>840</v>
      </c>
      <c r="D42" s="1">
        <v>3360</v>
      </c>
      <c r="E42" s="1">
        <f>IF(F43="","",F43-表1[[#This Row],[SHOW_EXP]])</f>
        <v>132000</v>
      </c>
      <c r="F42" s="1">
        <v>2730000</v>
      </c>
      <c r="G42" s="1">
        <v>870</v>
      </c>
      <c r="H42" s="2" t="s">
        <v>4</v>
      </c>
      <c r="I42" s="1">
        <v>9680</v>
      </c>
    </row>
    <row r="43" spans="1:9" x14ac:dyDescent="0.15">
      <c r="A43" s="1">
        <v>42</v>
      </c>
      <c r="B43" s="3">
        <v>86400</v>
      </c>
      <c r="C43" s="2">
        <v>860</v>
      </c>
      <c r="D43" s="1">
        <v>3440</v>
      </c>
      <c r="E43" s="1">
        <f>IF(F44="","",F44-表1[[#This Row],[SHOW_EXP]])</f>
        <v>135000</v>
      </c>
      <c r="F43" s="1">
        <v>2862000</v>
      </c>
      <c r="G43" s="1">
        <v>900</v>
      </c>
      <c r="H43" s="2" t="s">
        <v>4</v>
      </c>
      <c r="I43" s="1">
        <v>11420</v>
      </c>
    </row>
    <row r="44" spans="1:9" x14ac:dyDescent="0.15">
      <c r="A44" s="1">
        <v>43</v>
      </c>
      <c r="B44" s="3">
        <v>86400</v>
      </c>
      <c r="C44" s="2">
        <v>880</v>
      </c>
      <c r="D44" s="1">
        <v>3520</v>
      </c>
      <c r="E44" s="1">
        <f>IF(F45="","",F45-表1[[#This Row],[SHOW_EXP]])</f>
        <v>138000</v>
      </c>
      <c r="F44" s="1">
        <v>2997000</v>
      </c>
      <c r="G44" s="1">
        <v>920</v>
      </c>
      <c r="H44" s="2" t="s">
        <v>4</v>
      </c>
      <c r="I44" s="1">
        <v>14040</v>
      </c>
    </row>
    <row r="45" spans="1:9" x14ac:dyDescent="0.15">
      <c r="A45" s="1">
        <v>44</v>
      </c>
      <c r="B45" s="3">
        <v>86400</v>
      </c>
      <c r="C45" s="2">
        <v>900</v>
      </c>
      <c r="D45" s="1">
        <v>3600</v>
      </c>
      <c r="E45" s="1">
        <f>IF(F46="","",F46-表1[[#This Row],[SHOW_EXP]])</f>
        <v>141000</v>
      </c>
      <c r="F45" s="1">
        <v>3135000</v>
      </c>
      <c r="G45" s="1">
        <v>940</v>
      </c>
      <c r="H45" s="2" t="s">
        <v>4</v>
      </c>
      <c r="I45" s="1">
        <v>17530</v>
      </c>
    </row>
    <row r="46" spans="1:9" x14ac:dyDescent="0.15">
      <c r="A46" s="1">
        <v>45</v>
      </c>
      <c r="B46" s="3">
        <v>86400</v>
      </c>
      <c r="C46" s="2">
        <v>920</v>
      </c>
      <c r="D46" s="1">
        <v>3680</v>
      </c>
      <c r="E46" s="1" t="str">
        <f>IF(F47="","",F47-表1[[#This Row],[SHOW_EXP]])</f>
        <v/>
      </c>
      <c r="F46" s="1">
        <v>3276000</v>
      </c>
      <c r="G46" s="1">
        <v>960</v>
      </c>
      <c r="H46" s="2" t="s">
        <v>4</v>
      </c>
      <c r="I46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8</xdr:col>
                    <xdr:colOff>771525</xdr:colOff>
                    <xdr:row>0</xdr:row>
                    <xdr:rowOff>66675</xdr:rowOff>
                  </from>
                  <to>
                    <xdr:col>10</xdr:col>
                    <xdr:colOff>657225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2017-03-22T05:31:15Z</dcterms:created>
  <dcterms:modified xsi:type="dcterms:W3CDTF">2018-04-03T01:48:11Z</dcterms:modified>
</cp:coreProperties>
</file>